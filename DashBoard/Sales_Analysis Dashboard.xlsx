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ashi\Downloads\"/>
    </mc:Choice>
  </mc:AlternateContent>
  <xr:revisionPtr revIDLastSave="0" documentId="13_ncr:1_{E642B20C-D844-4AAA-8264-FFFB13CD4EB3}" xr6:coauthVersionLast="47" xr6:coauthVersionMax="47" xr10:uidLastSave="{00000000-0000-0000-0000-000000000000}"/>
  <bookViews>
    <workbookView xWindow="-108" yWindow="-108" windowWidth="23256" windowHeight="12456" firstSheet="1" activeTab="4" xr2:uid="{9FB31B23-E061-42B9-AB9B-50451C6F48DF}"/>
  </bookViews>
  <sheets>
    <sheet name="FnP Datasets" sheetId="2" state="hidden" r:id="rId1"/>
    <sheet name="Customers" sheetId="3" r:id="rId2"/>
    <sheet name="Orders" sheetId="4" r:id="rId3"/>
    <sheet name="Products" sheetId="5" r:id="rId4"/>
    <sheet name="Pivot Tables" sheetId="1" r:id="rId5"/>
    <sheet name="DashBoard " sheetId="6"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Tim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4be46026-4961-423b-b359-a9d29a28aeca" name="FnP Datasets" connection="Query - FnP Datasets"/>
          <x15:modelTable id="Customers_a13a5945-865e-4215-a071-e9309d3496f6" name="Customers" connection="Query - Customers"/>
          <x15:modelTable id="Orders_025fa10a-a67d-4a1e-9eb5-50605bc3c738" name="Orders" connection="Query - Orders"/>
          <x15:modelTable id="Products_b1147b51-1ef7-4aee-a36e-c60924222eab"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F9C7CA-C527-471E-8584-FAD2CACBEDC9}"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08296773-7271-45A7-9F4E-9A71363A43B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D8369F09-B426-4AF2-B0B9-B0766FB4130D}"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AB4FF39-B4AE-42DD-972B-9D2A08B2127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82C9150-87AD-413E-8407-29119FB1B311}" name="Query - Customers" description="Connection to the 'Customers' query in the workbook." type="100" refreshedVersion="8" minRefreshableVersion="5">
    <extLst>
      <ext xmlns:x15="http://schemas.microsoft.com/office/spreadsheetml/2010/11/main" uri="{DE250136-89BD-433C-8126-D09CA5730AF9}">
        <x15:connection id="00671186-0562-4f17-bcb9-b06bec503486"/>
      </ext>
    </extLst>
  </connection>
  <connection id="6" xr16:uid="{88773215-3EA2-454D-96EA-9A24D5835FC8}" name="Query - FnP Datasets" description="Connection to the 'FnP Datasets' query in the workbook." type="100" refreshedVersion="8" minRefreshableVersion="5">
    <extLst>
      <ext xmlns:x15="http://schemas.microsoft.com/office/spreadsheetml/2010/11/main" uri="{DE250136-89BD-433C-8126-D09CA5730AF9}">
        <x15:connection id="10b0abaa-a57e-4d12-9746-ee4c3b233321"/>
      </ext>
    </extLst>
  </connection>
  <connection id="7" xr16:uid="{EF3D5D17-866B-4BA8-9C65-33BE0F887240}" name="Query - Orders" description="Connection to the 'Orders' query in the workbook." type="100" refreshedVersion="8" minRefreshableVersion="5">
    <extLst>
      <ext xmlns:x15="http://schemas.microsoft.com/office/spreadsheetml/2010/11/main" uri="{DE250136-89BD-433C-8126-D09CA5730AF9}">
        <x15:connection id="83043131-6309-4ed0-8ecd-09951b95cca7"/>
      </ext>
    </extLst>
  </connection>
  <connection id="8" xr16:uid="{00F6DB31-2005-49FF-A8B2-EA79DA398B2D}" name="Query - Products" description="Connection to the 'Products' query in the workbook." type="100" refreshedVersion="8" minRefreshableVersion="5">
    <extLst>
      <ext xmlns:x15="http://schemas.microsoft.com/office/spreadsheetml/2010/11/main" uri="{DE250136-89BD-433C-8126-D09CA5730AF9}">
        <x15:connection id="3f00e80f-7fb9-4d35-b029-0b920c91f99e"/>
      </ext>
    </extLst>
  </connection>
  <connection id="9" xr16:uid="{F3EB4888-E5FB-425C-AC24-9C3D2B6629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<sst xmlns="http://schemas.openxmlformats.org/spreadsheetml/2006/main" count="6027" uniqueCount="947">
  <si>
    <t>Name</t>
  </si>
  <si>
    <t>Extension</t>
  </si>
  <si>
    <t>Date accessed</t>
  </si>
  <si>
    <t>Date modified</t>
  </si>
  <si>
    <t>Date created</t>
  </si>
  <si>
    <t>Folder Path</t>
  </si>
  <si>
    <t>customers.csv</t>
  </si>
  <si>
    <t>.csv</t>
  </si>
  <si>
    <t>C:\Users\aashi\Downloads\FnP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</si>
  <si>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</si>
  <si>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</si>
  <si>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</si>
  <si>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</si>
  <si>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</si>
  <si>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</si>
  <si>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</si>
  <si>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</si>
  <si>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</si>
  <si>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</si>
  <si>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</si>
  <si>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</si>
  <si>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</si>
  <si>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</si>
  <si>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</si>
  <si>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</si>
  <si>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</si>
  <si>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</si>
  <si>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</si>
  <si>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</si>
  <si>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</si>
  <si>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</si>
  <si>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</si>
  <si>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</si>
  <si>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</si>
  <si>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</si>
  <si>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</si>
  <si>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</si>
  <si>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</si>
  <si>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</si>
  <si>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</si>
  <si>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</si>
  <si>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</si>
  <si>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</si>
  <si>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</si>
  <si>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</si>
  <si>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</si>
  <si>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</si>
  <si>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</si>
  <si>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</si>
  <si>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</si>
  <si>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</si>
  <si>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</si>
  <si>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</si>
  <si>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</si>
  <si>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</si>
  <si>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</si>
  <si>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</si>
  <si>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</si>
  <si>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</si>
  <si>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</si>
  <si>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</si>
  <si>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</si>
  <si>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</si>
  <si>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</si>
  <si>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</si>
  <si>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</si>
  <si>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</si>
  <si>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</si>
  <si>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</si>
  <si>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</si>
  <si>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</si>
  <si>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</si>
  <si>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</si>
  <si>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</si>
  <si>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</si>
  <si>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</si>
  <si>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</si>
  <si>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</si>
  <si>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</si>
  <si>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</si>
  <si>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</si>
  <si>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</si>
  <si>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</si>
  <si>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</si>
  <si>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</si>
  <si>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</si>
  <si>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</si>
  <si>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</si>
  <si>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</si>
  <si>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</si>
  <si>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</si>
  <si>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</si>
  <si>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</si>
  <si>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</si>
  <si>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</si>
  <si>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</si>
  <si>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</si>
  <si>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</si>
  <si>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</si>
  <si>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</si>
  <si>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</si>
  <si>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</si>
  <si>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</si>
  <si>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</si>
  <si>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</si>
  <si>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</si>
  <si>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</si>
  <si>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</si>
  <si>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</si>
  <si>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</si>
  <si>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</si>
  <si>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</si>
  <si>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</si>
  <si>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</si>
  <si>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</si>
  <si>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</si>
  <si>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</si>
  <si>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</si>
  <si>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</si>
  <si>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</si>
  <si>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</si>
  <si>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</si>
  <si>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</si>
  <si>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</si>
  <si>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</si>
  <si>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</si>
  <si>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</si>
  <si>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</si>
  <si>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</si>
  <si>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</si>
  <si>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</si>
  <si>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</si>
  <si>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</si>
  <si>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</si>
  <si>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</si>
  <si>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</si>
  <si>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</si>
  <si>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</si>
  <si>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</si>
  <si>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</si>
  <si>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</si>
  <si>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</si>
  <si>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</si>
  <si>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</si>
  <si>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</si>
  <si>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</si>
  <si>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</si>
  <si>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</si>
  <si>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</si>
  <si>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</si>
  <si>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</si>
  <si>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</si>
  <si>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</si>
  <si>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</si>
  <si>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</si>
  <si>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</si>
  <si>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</si>
  <si>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</si>
  <si>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</si>
  <si>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</si>
  <si>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</si>
  <si>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</si>
  <si>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</si>
  <si>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</si>
  <si>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</si>
  <si>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</si>
  <si>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</si>
  <si>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</si>
  <si>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</si>
  <si>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</si>
  <si>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</si>
  <si>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</si>
  <si>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</si>
  <si>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</si>
  <si>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</si>
  <si>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</si>
  <si>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</si>
  <si>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</si>
  <si>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</si>
  <si>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</si>
  <si>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</si>
  <si>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</si>
  <si>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</si>
  <si>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</si>
  <si>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</si>
  <si>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</si>
  <si>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</si>
  <si>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</si>
  <si>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</si>
  <si>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</si>
  <si>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</si>
  <si>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</si>
  <si>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</si>
  <si>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</si>
  <si>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</si>
  <si>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</si>
  <si>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</si>
  <si>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</si>
  <si>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</si>
  <si>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</si>
  <si>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</si>
  <si>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</si>
  <si>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</si>
  <si>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</si>
  <si>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</si>
  <si>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</si>
  <si>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</si>
  <si>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</si>
  <si>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</si>
  <si>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</si>
  <si>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</si>
  <si>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</si>
  <si>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</si>
  <si>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</si>
  <si>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</si>
  <si>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</si>
  <si>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</si>
  <si>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</si>
  <si>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</si>
  <si>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</si>
  <si>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</si>
  <si>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</si>
  <si>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</si>
  <si>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</si>
  <si>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</si>
  <si>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</si>
  <si>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</si>
  <si>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</si>
  <si>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</si>
  <si>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</si>
  <si>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</si>
  <si>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</si>
  <si>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</si>
  <si>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</si>
  <si>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</si>
  <si>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</si>
  <si>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</si>
  <si>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</si>
  <si>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</si>
  <si>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</si>
  <si>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</si>
  <si>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</si>
  <si>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</si>
  <si>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</si>
  <si>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</si>
  <si>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</si>
  <si>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</si>
  <si>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</si>
  <si>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</si>
  <si>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</si>
  <si>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</si>
  <si>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</si>
  <si>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</si>
  <si>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</si>
  <si>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</si>
  <si>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</si>
  <si>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</si>
  <si>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</si>
  <si>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</si>
  <si>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</si>
  <si>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</si>
  <si>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</si>
  <si>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</si>
  <si>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</si>
  <si>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</si>
  <si>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</si>
  <si>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</si>
  <si>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</si>
  <si>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</si>
  <si>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</si>
  <si>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</si>
  <si>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</si>
  <si>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</si>
  <si>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</si>
  <si>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</si>
  <si>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</si>
  <si>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</si>
  <si>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</si>
  <si>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</si>
  <si>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</si>
  <si>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</si>
  <si>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</si>
  <si>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</si>
  <si>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</si>
  <si>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</si>
  <si>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</si>
  <si>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</si>
  <si>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</si>
  <si>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</si>
  <si>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</si>
  <si>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</si>
  <si>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</si>
  <si>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</si>
  <si>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</si>
  <si>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</si>
  <si>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</si>
  <si>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</si>
  <si>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</si>
  <si>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</si>
  <si>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</si>
  <si>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</si>
  <si>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</si>
  <si>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</si>
  <si>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</si>
  <si>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</si>
  <si>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</si>
  <si>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</si>
  <si>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</si>
  <si>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</si>
  <si>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</si>
  <si>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</si>
  <si>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</si>
  <si>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</si>
  <si>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</si>
  <si>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</si>
  <si>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</si>
  <si>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</si>
  <si>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</si>
  <si>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</si>
  <si>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</si>
  <si>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</si>
  <si>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</si>
  <si>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</si>
  <si>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</si>
  <si>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</si>
  <si>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</si>
  <si>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</si>
  <si>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</si>
  <si>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</si>
  <si>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</si>
  <si>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</si>
  <si>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</si>
  <si>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</si>
  <si>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</si>
  <si>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</si>
  <si>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</si>
  <si>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</si>
  <si>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</si>
  <si>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</si>
  <si>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</si>
  <si>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</si>
  <si>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</si>
  <si>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</si>
  <si>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</si>
  <si>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</si>
  <si>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</si>
  <si>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</si>
  <si>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</si>
  <si>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</si>
  <si>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</si>
  <si>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</si>
  <si>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</si>
  <si>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</si>
  <si>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</si>
  <si>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</si>
  <si>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</si>
  <si>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</si>
  <si>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</si>
  <si>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</si>
  <si>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</si>
  <si>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</si>
  <si>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</si>
  <si>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</si>
  <si>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</si>
  <si>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</si>
  <si>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</si>
  <si>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</si>
  <si>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</si>
  <si>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</si>
  <si>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</si>
  <si>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</si>
  <si>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</si>
  <si>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</si>
  <si>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</si>
  <si>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</si>
  <si>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</si>
  <si>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</si>
  <si>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</si>
  <si>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</si>
  <si>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</si>
  <si>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</si>
  <si>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</si>
  <si>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</si>
  <si>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</si>
  <si>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</si>
  <si>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</si>
  <si>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</si>
  <si>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</si>
  <si>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</si>
  <si>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</si>
  <si>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</si>
  <si>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</si>
  <si>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</si>
  <si>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</si>
  <si>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</si>
  <si>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</si>
  <si>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</si>
  <si>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</si>
  <si>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</si>
  <si>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</si>
  <si>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</si>
  <si>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</si>
  <si>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</si>
  <si>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</si>
  <si>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</si>
  <si>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</si>
  <si>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</si>
  <si>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</si>
  <si>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</si>
  <si>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</si>
  <si>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</si>
  <si>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</si>
  <si>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</si>
  <si>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</si>
  <si>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</si>
  <si>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</si>
  <si>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</si>
  <si>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</si>
  <si>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</si>
  <si>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</si>
  <si>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</si>
  <si>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</si>
  <si>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</si>
  <si>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</si>
  <si>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</si>
  <si>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</si>
  <si>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</si>
  <si>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</si>
  <si>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</si>
  <si>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</si>
  <si>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</si>
  <si>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</si>
  <si>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</si>
  <si>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</si>
  <si>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</si>
  <si>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</si>
  <si>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</si>
  <si>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</si>
  <si>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</si>
  <si>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</si>
  <si>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</si>
  <si>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</si>
  <si>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</si>
  <si>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</si>
  <si>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</si>
  <si>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</si>
  <si>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</si>
  <si>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</si>
  <si>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</si>
  <si>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</si>
  <si>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</si>
  <si>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</si>
  <si>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</si>
  <si>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</si>
  <si>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</si>
  <si>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</si>
  <si>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</si>
  <si>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</si>
  <si>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</si>
  <si>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</si>
  <si>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</si>
  <si>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</si>
  <si>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</si>
  <si>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</si>
  <si>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</si>
  <si>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</si>
  <si>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</si>
  <si>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</si>
  <si>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</si>
  <si>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</si>
  <si>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</si>
  <si>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</si>
  <si>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</si>
  <si>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</si>
  <si>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</si>
  <si>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</si>
  <si>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</si>
  <si>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</si>
  <si>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</si>
  <si>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</si>
  <si>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</si>
  <si>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</si>
  <si>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</si>
  <si>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</si>
  <si>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</si>
  <si>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</si>
  <si>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</si>
  <si>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</si>
  <si>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</si>
  <si>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</si>
  <si>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</si>
  <si>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</si>
  <si>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</si>
  <si>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</si>
  <si>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</si>
  <si>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</si>
  <si>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</si>
  <si>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</si>
  <si>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</si>
  <si>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</si>
  <si>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</si>
  <si>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</si>
  <si>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</si>
  <si>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</si>
  <si>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</si>
  <si>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</si>
  <si>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</si>
  <si>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</si>
  <si>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</si>
  <si>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</si>
  <si>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</si>
  <si>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</si>
  <si>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</si>
  <si>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</si>
  <si>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</si>
  <si>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</si>
  <si>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</si>
  <si>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</si>
  <si>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</si>
  <si>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</si>
  <si>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</si>
  <si>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</si>
  <si>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</si>
  <si>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</si>
  <si>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</si>
  <si>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</si>
  <si>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</si>
  <si>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</si>
  <si>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</si>
  <si>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</si>
  <si>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</si>
  <si>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</si>
  <si>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</si>
  <si>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</si>
  <si>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</si>
  <si>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</si>
  <si>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</si>
  <si>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</si>
  <si>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</si>
  <si>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</si>
  <si>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</si>
  <si>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</si>
  <si>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</si>
  <si>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</si>
  <si>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</si>
  <si>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</si>
  <si>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</si>
  <si>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</si>
  <si>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</si>
  <si>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</si>
  <si>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</si>
  <si>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</si>
  <si>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</si>
  <si>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</si>
  <si>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</si>
  <si>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</si>
  <si>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</si>
  <si>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</si>
  <si>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</si>
  <si>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</si>
  <si>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</si>
  <si>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</si>
  <si>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</si>
  <si>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</si>
  <si>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</si>
  <si>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</si>
  <si>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</si>
  <si>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</si>
  <si>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</si>
  <si>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</si>
  <si>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</si>
  <si>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</si>
  <si>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</si>
  <si>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</si>
  <si>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</si>
  <si>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</si>
  <si>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</si>
  <si>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</si>
  <si>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</si>
  <si>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</si>
  <si>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</si>
  <si>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</si>
  <si>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</si>
  <si>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</si>
  <si>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</si>
  <si>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</si>
  <si>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</si>
  <si>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</si>
  <si>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</si>
  <si>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</si>
  <si>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</si>
  <si>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</si>
  <si>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</si>
  <si>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</si>
  <si>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</si>
  <si>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</si>
  <si>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</si>
  <si>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</si>
  <si>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</si>
  <si>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</si>
  <si>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</si>
  <si>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</si>
  <si>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</si>
  <si>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</si>
  <si>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</si>
  <si>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</si>
  <si>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</si>
  <si>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</si>
  <si>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</si>
  <si>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</si>
  <si>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</si>
  <si>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</si>
  <si>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</si>
  <si>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</si>
  <si>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Name(Order)</t>
  </si>
  <si>
    <t>Hour(Order)</t>
  </si>
  <si>
    <t>Diff_order/delivery</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</si>
  <si>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</si>
  <si>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</si>
  <si>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</si>
  <si>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</si>
  <si>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</si>
  <si>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</si>
  <si>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</si>
  <si>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</si>
  <si>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</si>
  <si>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</si>
  <si>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</si>
  <si>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</si>
  <si>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</si>
  <si>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</si>
  <si>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</si>
  <si>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</si>
  <si>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</si>
  <si>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</si>
  <si>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</si>
  <si>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</si>
  <si>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</si>
  <si>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</si>
  <si>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</si>
  <si>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</si>
  <si>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</si>
  <si>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</si>
  <si>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</si>
  <si>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</si>
  <si>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</si>
  <si>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</si>
  <si>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</si>
  <si>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</si>
  <si>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</si>
  <si>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</si>
  <si>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</si>
  <si>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</si>
  <si>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</si>
  <si>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</si>
  <si>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</si>
  <si>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</si>
  <si>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</si>
  <si>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</si>
  <si>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</si>
  <si>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</si>
  <si>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</si>
  <si>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</si>
  <si>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</si>
  <si>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</si>
  <si>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</si>
  <si>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</si>
  <si>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</si>
  <si>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</si>
  <si>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</si>
  <si>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</si>
  <si>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</si>
  <si>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</si>
  <si>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</si>
  <si>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</si>
  <si>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</si>
  <si>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</si>
  <si>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</si>
  <si>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</si>
  <si>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</si>
  <si>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</si>
  <si>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</si>
  <si>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</si>
  <si>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</si>
  <si>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</si>
  <si>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</si>
  <si>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</si>
  <si>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</si>
  <si>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</si>
  <si>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</si>
  <si>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</si>
  <si>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</si>
  <si>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</si>
  <si>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</si>
  <si>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</si>
  <si>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</si>
  <si>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</si>
  <si>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</si>
  <si>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</si>
  <si>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</si>
  <si>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</si>
  <si>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</si>
  <si>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</si>
  <si>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</si>
  <si>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</si>
  <si>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</si>
  <si>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</si>
  <si>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</si>
  <si>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</si>
  <si>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</si>
  <si>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</si>
  <si>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</si>
  <si>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</si>
  <si>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</si>
  <si>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</si>
  <si>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</si>
  <si>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</si>
  <si>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</si>
  <si>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</si>
  <si>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</si>
  <si>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</si>
  <si>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</si>
  <si>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</si>
  <si>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</si>
  <si>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</si>
  <si>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</si>
  <si>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</si>
  <si>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</si>
  <si>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</si>
  <si>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</si>
  <si>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</si>
  <si>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</si>
  <si>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</si>
  <si>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</si>
  <si>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</si>
  <si>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</si>
  <si>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</si>
  <si>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</si>
  <si>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</si>
  <si>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</si>
  <si>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</si>
  <si>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</si>
  <si>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</si>
  <si>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</si>
  <si>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</si>
  <si>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</si>
  <si>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</si>
  <si>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</si>
  <si>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</si>
  <si>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</si>
  <si>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</si>
  <si>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</si>
  <si>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</si>
  <si>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</si>
  <si>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</si>
  <si>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</si>
  <si>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</si>
  <si>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</si>
  <si>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</si>
  <si>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</si>
  <si>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</si>
  <si>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</si>
  <si>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</si>
  <si>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</si>
  <si>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</si>
  <si>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</si>
  <si>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</si>
  <si>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</si>
  <si>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</si>
  <si>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</si>
  <si>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</si>
  <si>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</si>
  <si>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</si>
  <si>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</si>
  <si>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</si>
  <si>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</si>
  <si>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</si>
  <si>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</si>
  <si>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</si>
  <si>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</si>
  <si>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</si>
  <si>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</si>
  <si>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</si>
  <si>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</si>
  <si>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</si>
  <si>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</si>
  <si>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</si>
  <si>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</si>
  <si>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</si>
  <si>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</si>
  <si>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</si>
  <si>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</si>
  <si>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</si>
  <si>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</si>
  <si>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</si>
  <si>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</si>
  <si>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</si>
  <si>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</si>
  <si>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</si>
  <si>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</si>
  <si>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</si>
  <si>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</si>
  <si>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</si>
  <si>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</si>
  <si>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</si>
  <si>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</si>
  <si>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</si>
  <si>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</si>
  <si>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</si>
  <si>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</si>
  <si>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</si>
  <si>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</si>
  <si>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</si>
  <si>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</si>
  <si>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</si>
  <si>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</si>
  <si>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</si>
  <si>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</si>
  <si>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</si>
  <si>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</si>
  <si>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</si>
  <si>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</si>
  <si>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</si>
  <si>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</si>
  <si>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</si>
  <si>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</si>
  <si>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</si>
  <si>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</si>
  <si>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</si>
  <si>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</si>
  <si>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</si>
  <si>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</si>
  <si>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</si>
  <si>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</si>
  <si>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</si>
  <si>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</si>
  <si>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</si>
  <si>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</si>
  <si>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</si>
  <si>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</si>
  <si>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</si>
  <si>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</si>
  <si>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</si>
  <si>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</si>
  <si>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</si>
  <si>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</si>
  <si>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</si>
  <si>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</si>
  <si>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</si>
  <si>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</si>
  <si>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</si>
  <si>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</si>
  <si>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</si>
  <si>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</si>
  <si>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</si>
  <si>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</si>
  <si>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</si>
  <si>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</si>
  <si>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</si>
  <si>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</si>
  <si>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</si>
  <si>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</si>
  <si>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</si>
  <si>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</si>
  <si>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</si>
  <si>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</si>
  <si>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</si>
  <si>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</si>
  <si>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</si>
  <si>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</si>
  <si>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</si>
  <si>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</si>
  <si>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</si>
  <si>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</si>
  <si>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</si>
  <si>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</si>
  <si>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</si>
  <si>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</si>
  <si>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</si>
  <si>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</si>
  <si>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</si>
  <si>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</si>
  <si>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</si>
  <si>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</si>
  <si>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</si>
  <si>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</si>
  <si>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</si>
  <si>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</si>
  <si>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</si>
  <si>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</si>
  <si>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</si>
  <si>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</si>
  <si>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</si>
  <si>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</si>
  <si>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</si>
  <si>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</si>
  <si>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</si>
  <si>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</si>
  <si>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</si>
  <si>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</si>
  <si>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</si>
  <si>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</si>
  <si>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</si>
  <si>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</si>
  <si>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</si>
  <si>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</si>
  <si>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</si>
  <si>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</si>
  <si>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</si>
  <si>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</si>
  <si>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</si>
  <si>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</si>
  <si>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</si>
  <si>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</si>
  <si>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</si>
  <si>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</si>
  <si>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</si>
  <si>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</si>
  <si>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</si>
  <si>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</si>
  <si>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</si>
  <si>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</si>
  <si>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</si>
  <si>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</si>
  <si>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</si>
  <si>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</si>
  <si>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</si>
  <si>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</si>
  <si>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</si>
  <si>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</si>
  <si>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</si>
  <si>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</si>
  <si>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</si>
  <si>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</si>
  <si>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</si>
  <si>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Name(Order_date)</t>
  </si>
  <si>
    <t>Saturday</t>
  </si>
  <si>
    <t>Wednesday</t>
  </si>
  <si>
    <t>Friday</t>
  </si>
  <si>
    <t>Sunday</t>
  </si>
  <si>
    <t>Monday</t>
  </si>
  <si>
    <t>Tuesday</t>
  </si>
  <si>
    <t>Thursday</t>
  </si>
  <si>
    <t>Sum of Revenue</t>
  </si>
  <si>
    <t>Average of Diff_order/delivery</t>
  </si>
  <si>
    <t>Count of Order_ID</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</si>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</sst>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1" fillId="0" borderId="1" xfId="0" applyFont="1" applyBorder="1"/>
    <xf numFmtId="165" fontId="1" fillId="0" borderId="1" xfId="0" applyNumberFormat="1" applyFont="1" applyBorder="1"/>
    <xf numFmtId="0" fontId="1" fillId="0" borderId="1" xfId="0" pivotButton="1" applyFont="1" applyBorder="1"/>
    <xf numFmtId="0" fontId="1" fillId="0" borderId="1" xfId="0" applyFont="1" applyBorder="1" applyAlignment="1">
      <alignment horizontal="left"/>
    </xf>
    <xf numFmtId="0" fontId="0" fillId="2" borderId="0" xfId="0" applyFill="1"/>
  </cellXfs>
  <cellStyles count="1">
    <cellStyle name="Normal" xfId="0" builtinId="0"/>
  </cellStyles>
  <dxfs count="162">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1" defaultTableStyle="TableStyleMedium2" defaultPivotStyle="PivotStyleLight16">
    <tableStyle name="Invisible" pivot="0" table="0" count="0" xr9:uid="{9BCA4F75-68BE-476D-8658-7AE2B5D17AE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Tables!PivotTable11</c:name>
    <c:fmtId val="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b="1"/>
              <a:t>Revenue by Occasions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Tables'!$E$7</c:f>
              <c:strCache>
                <c:ptCount val="1"/>
                <c:pt idx="0">
                  <c:v>Total</c:v>
                </c:pt>
              </c:strCache>
            </c:strRef>
          </c:tx>
          <c:spPr>
            <a:solidFill>
              <a:schemeClr val="accent1"/>
            </a:solidFill>
            <a:ln>
              <a:noFill/>
            </a:ln>
            <a:effectLst/>
          </c:spPr>
          <c:invertIfNegative val="0"/>
          <c:cat>
            <c:strRef>
              <c:f>'Pivot Tables'!$D$8:$D$15</c:f>
              <c:strCache>
                <c:ptCount val="7"/>
                <c:pt idx="0">
                  <c:v>All Occasions</c:v>
                </c:pt>
                <c:pt idx="1">
                  <c:v>Anniversary</c:v>
                </c:pt>
                <c:pt idx="2">
                  <c:v>Birthday</c:v>
                </c:pt>
                <c:pt idx="3">
                  <c:v>Diwali</c:v>
                </c:pt>
                <c:pt idx="4">
                  <c:v>Holi</c:v>
                </c:pt>
                <c:pt idx="5">
                  <c:v>Raksha Bandhan</c:v>
                </c:pt>
                <c:pt idx="6">
                  <c:v>Valentine's Day</c:v>
                </c:pt>
              </c:strCache>
            </c:strRef>
          </c:cat>
          <c:val>
            <c:numRef>
              <c:f>'Pivot Tables'!$E$8:$E$15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4DE-4C64-854B-CF10752F603B}"/>
            </c:ext>
          </c:extLst>
        </c:ser>
        <c:dLbls>
          <c:showLegendKey val="0"/>
          <c:showVal val="0"/>
          <c:showCatName val="0"/>
          <c:showSerName val="0"/>
          <c:showPercent val="0"/>
          <c:showBubbleSize val="0"/>
        </c:dLbls>
        <c:gapWidth val="267"/>
        <c:overlap val="-43"/>
        <c:axId val="582255791"/>
        <c:axId val="582257711"/>
      </c:barChart>
      <c:catAx>
        <c:axId val="5822557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82257711"/>
        <c:crosses val="autoZero"/>
        <c:auto val="1"/>
        <c:lblAlgn val="ctr"/>
        <c:lblOffset val="100"/>
        <c:noMultiLvlLbl val="0"/>
      </c:catAx>
      <c:valAx>
        <c:axId val="582257711"/>
        <c:scaling>
          <c:orientation val="minMax"/>
        </c:scaling>
        <c:delete val="0"/>
        <c:axPos val="l"/>
        <c:majorGridlines>
          <c:spPr>
            <a:ln w="9525" cap="flat" cmpd="sng" algn="ctr">
              <a:solidFill>
                <a:schemeClr val="dk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8225579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mConfetti">
      <a:fgClr>
        <a:schemeClr val="accent1"/>
      </a:fgClr>
      <a:bgClr>
        <a:schemeClr val="bg1"/>
      </a:bgClr>
    </a:pattFill>
    <a:ln w="9525" cap="flat" cmpd="sng" algn="ctr">
      <a:solidFill>
        <a:schemeClr val="tx1">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Tables!PivotTable9</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Order by Category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Tables'!$H$7</c:f>
              <c:strCache>
                <c:ptCount val="1"/>
                <c:pt idx="0">
                  <c:v>Total</c:v>
                </c:pt>
              </c:strCache>
            </c:strRef>
          </c:tx>
          <c:spPr>
            <a:solidFill>
              <a:schemeClr val="accent1"/>
            </a:solidFill>
            <a:ln>
              <a:noFill/>
            </a:ln>
            <a:effectLst/>
          </c:spPr>
          <c:invertIfNegative val="0"/>
          <c:cat>
            <c:strRef>
              <c:f>'Pivot Tables'!$G$8:$G$15</c:f>
              <c:strCache>
                <c:ptCount val="7"/>
                <c:pt idx="0">
                  <c:v>Cake</c:v>
                </c:pt>
                <c:pt idx="1">
                  <c:v>Colors</c:v>
                </c:pt>
                <c:pt idx="2">
                  <c:v>Mugs</c:v>
                </c:pt>
                <c:pt idx="3">
                  <c:v>Plants</c:v>
                </c:pt>
                <c:pt idx="4">
                  <c:v>Raksha Bandhan</c:v>
                </c:pt>
                <c:pt idx="5">
                  <c:v>Soft Toys</c:v>
                </c:pt>
                <c:pt idx="6">
                  <c:v>Sweets</c:v>
                </c:pt>
              </c:strCache>
            </c:strRef>
          </c:cat>
          <c:val>
            <c:numRef>
              <c:f>'Pivot Tables'!$H$8:$H$15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06A5-4D91-BE4F-03498A4037A1}"/>
            </c:ext>
          </c:extLst>
        </c:ser>
        <c:dLbls>
          <c:showLegendKey val="0"/>
          <c:showVal val="0"/>
          <c:showCatName val="0"/>
          <c:showSerName val="0"/>
          <c:showPercent val="0"/>
          <c:showBubbleSize val="0"/>
        </c:dLbls>
        <c:gapWidth val="267"/>
        <c:overlap val="-43"/>
        <c:axId val="317318015"/>
        <c:axId val="321063279"/>
      </c:barChart>
      <c:catAx>
        <c:axId val="31731801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21063279"/>
        <c:crosses val="autoZero"/>
        <c:auto val="1"/>
        <c:lblAlgn val="ctr"/>
        <c:lblOffset val="100"/>
        <c:noMultiLvlLbl val="0"/>
      </c:catAx>
      <c:valAx>
        <c:axId val="321063279"/>
        <c:scaling>
          <c:orientation val="minMax"/>
        </c:scaling>
        <c:delete val="0"/>
        <c:axPos val="l"/>
        <c:majorGridlines>
          <c:spPr>
            <a:ln w="9525" cap="flat" cmpd="sng" algn="ctr">
              <a:solidFill>
                <a:schemeClr val="dk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1731801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mConfetti">
      <a:fgClr>
        <a:schemeClr val="accent1"/>
      </a:fgClr>
      <a:bgClr>
        <a:schemeClr val="bg1"/>
      </a:bgClr>
    </a:pattFill>
    <a:ln w="9525" cap="flat" cmpd="sng" algn="ctr">
      <a:solidFill>
        <a:schemeClr val="tx1">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Tables!PivotTable6</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Revenue by Months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Tables'!$E$17</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'Pivot Tables'!$D$18:$D$30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Tables'!$E$18:$E$30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E42-4158-9402-27789630BBE0}"/>
            </c:ext>
          </c:extLst>
        </c:ser>
        <c:dLbls>
          <c:showLegendKey val="0"/>
          <c:showVal val="0"/>
          <c:showCatName val="0"/>
          <c:showSerName val="0"/>
          <c:showPercent val="0"/>
          <c:showBubbleSize val="0"/>
        </c:dLbls>
        <c:marker val="1"/>
        <c:smooth val="0"/>
        <c:axId val="321062799"/>
        <c:axId val="317319455"/>
      </c:lineChart>
      <c:catAx>
        <c:axId val="32106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17319455"/>
        <c:crosses val="autoZero"/>
        <c:auto val="1"/>
        <c:lblAlgn val="ctr"/>
        <c:lblOffset val="100"/>
        <c:noMultiLvlLbl val="0"/>
      </c:catAx>
      <c:valAx>
        <c:axId val="3173194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6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mConfetti">
      <a:fgClr>
        <a:schemeClr val="accent1"/>
      </a:fgClr>
      <a:bgClr>
        <a:schemeClr val="bg1"/>
      </a:bgClr>
    </a:pattFill>
    <a:ln w="9525" cap="flat" cmpd="sng" algn="ctr">
      <a:solidFill>
        <a:schemeClr val="tx1">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Tables!PivotTable7</c:name>
    <c:fmtId val="1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Top 5 Products by Revenue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c:f>
              <c:strCache>
                <c:ptCount val="1"/>
                <c:pt idx="0">
                  <c:v>Total</c:v>
                </c:pt>
              </c:strCache>
            </c:strRef>
          </c:tx>
          <c:spPr>
            <a:solidFill>
              <a:schemeClr val="accent1"/>
            </a:solidFill>
            <a:ln>
              <a:noFill/>
            </a:ln>
            <a:effectLst/>
          </c:spPr>
          <c:invertIfNegative val="0"/>
          <c:cat>
            <c:strRef>
              <c:f>'Pivot Tables'!$A$6:$A$11</c:f>
              <c:strCache>
                <c:ptCount val="5"/>
                <c:pt idx="0">
                  <c:v>Deserunt Box</c:v>
                </c:pt>
                <c:pt idx="1">
                  <c:v>Dolores Gift</c:v>
                </c:pt>
                <c:pt idx="2">
                  <c:v>Harum Pack</c:v>
                </c:pt>
                <c:pt idx="3">
                  <c:v>Magnam Set</c:v>
                </c:pt>
                <c:pt idx="4">
                  <c:v>Quia Gift</c:v>
                </c:pt>
              </c:strCache>
            </c:strRef>
          </c:cat>
          <c:val>
            <c:numRef>
              <c:f>'Pivot Tables'!$B$6:$B$11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EFA-4D7F-9770-A58BD9A46806}"/>
            </c:ext>
          </c:extLst>
        </c:ser>
        <c:dLbls>
          <c:showLegendKey val="0"/>
          <c:showVal val="0"/>
          <c:showCatName val="0"/>
          <c:showSerName val="0"/>
          <c:showPercent val="0"/>
          <c:showBubbleSize val="0"/>
        </c:dLbls>
        <c:gapWidth val="267"/>
        <c:overlap val="-43"/>
        <c:axId val="592384271"/>
        <c:axId val="592387151"/>
      </c:barChart>
      <c:catAx>
        <c:axId val="59238427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92387151"/>
        <c:crosses val="autoZero"/>
        <c:auto val="1"/>
        <c:lblAlgn val="ctr"/>
        <c:lblOffset val="100"/>
        <c:noMultiLvlLbl val="0"/>
      </c:catAx>
      <c:valAx>
        <c:axId val="592387151"/>
        <c:scaling>
          <c:orientation val="minMax"/>
        </c:scaling>
        <c:delete val="0"/>
        <c:axPos val="l"/>
        <c:majorGridlines>
          <c:spPr>
            <a:ln w="9525" cap="flat" cmpd="sng" algn="ctr">
              <a:solidFill>
                <a:schemeClr val="dk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9238427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mConfetti">
      <a:fgClr>
        <a:schemeClr val="accent1"/>
      </a:fgClr>
      <a:bgClr>
        <a:schemeClr val="bg1"/>
      </a:bgClr>
    </a:pattFill>
    <a:ln w="9525" cap="flat" cmpd="sng" algn="ctr">
      <a:solidFill>
        <a:schemeClr val="tx1">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Tables!PivotTable10</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Top 10 Cities by Orders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Tables'!$K$7</c:f>
              <c:strCache>
                <c:ptCount val="1"/>
                <c:pt idx="0">
                  <c:v>Total</c:v>
                </c:pt>
              </c:strCache>
            </c:strRef>
          </c:tx>
          <c:spPr>
            <a:solidFill>
              <a:schemeClr val="accent1"/>
            </a:solidFill>
            <a:ln>
              <a:noFill/>
            </a:ln>
            <a:effectLst/>
          </c:spPr>
          <c:invertIfNegative val="0"/>
          <c:cat>
            <c:strRef>
              <c:f>'Pivot Tables'!$J$8:$J$18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Tables'!$K$8:$K$18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21A3-42A5-82F5-79B513CEBD95}"/>
            </c:ext>
          </c:extLst>
        </c:ser>
        <c:dLbls>
          <c:showLegendKey val="0"/>
          <c:showVal val="0"/>
          <c:showCatName val="0"/>
          <c:showSerName val="0"/>
          <c:showPercent val="0"/>
          <c:showBubbleSize val="0"/>
        </c:dLbls>
        <c:gapWidth val="267"/>
        <c:overlap val="-43"/>
        <c:axId val="582871071"/>
        <c:axId val="582872511"/>
      </c:barChart>
      <c:catAx>
        <c:axId val="58287107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82872511"/>
        <c:crosses val="autoZero"/>
        <c:auto val="1"/>
        <c:lblAlgn val="ctr"/>
        <c:lblOffset val="100"/>
        <c:noMultiLvlLbl val="0"/>
      </c:catAx>
      <c:valAx>
        <c:axId val="58287251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8287107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mConfetti">
      <a:fgClr>
        <a:schemeClr val="accent1"/>
      </a:fgClr>
      <a:bgClr>
        <a:schemeClr val="bg1"/>
      </a:bgClr>
    </a:pattFill>
    <a:ln w="9525" cap="flat" cmpd="sng" algn="ctr">
      <a:solidFill>
        <a:schemeClr val="tx1">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Tables!PivotTable13</c:name>
    <c:fmtId val="9"/>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Revenue by Hour(Order_Time)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29211997355291"/>
          <c:y val="0.1691640708372992"/>
          <c:w val="0.72047018693274023"/>
          <c:h val="0.65748572293847873"/>
        </c:manualLayout>
      </c:layout>
      <c:lineChart>
        <c:grouping val="standard"/>
        <c:varyColors val="0"/>
        <c:ser>
          <c:idx val="0"/>
          <c:order val="0"/>
          <c:tx>
            <c:strRef>
              <c:f>'Pivot Tables'!$H$17</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Tables'!$G$18:$G$42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Tables'!$H$18:$H$42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6776-4DDA-9E26-CC0EAB3BE82F}"/>
            </c:ext>
          </c:extLst>
        </c:ser>
        <c:dLbls>
          <c:showLegendKey val="0"/>
          <c:showVal val="0"/>
          <c:showCatName val="0"/>
          <c:showSerName val="0"/>
          <c:showPercent val="0"/>
          <c:showBubbleSize val="0"/>
        </c:dLbls>
        <c:marker val="1"/>
        <c:smooth val="0"/>
        <c:axId val="324176479"/>
        <c:axId val="324176959"/>
      </c:lineChart>
      <c:catAx>
        <c:axId val="324176479"/>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24176959"/>
        <c:crosses val="autoZero"/>
        <c:auto val="1"/>
        <c:lblAlgn val="ctr"/>
        <c:lblOffset val="100"/>
        <c:tickLblSkip val="2"/>
        <c:tickMarkSkip val="2"/>
        <c:noMultiLvlLbl val="0"/>
      </c:catAx>
      <c:valAx>
        <c:axId val="324176959"/>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2417647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mConfetti">
      <a:fgClr>
        <a:schemeClr val="accent1"/>
      </a:fgClr>
      <a:bgClr>
        <a:schemeClr val="bg1"/>
      </a:bgClr>
    </a:pattFill>
    <a:ln w="9525" cap="flat" cmpd="sng" algn="ctr">
      <a:solidFill>
        <a:schemeClr val="tx1">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xdr:colOff>
      <xdr:row>4</xdr:row>
      <xdr:rowOff>167640</xdr:rowOff>
    </xdr:from>
    <xdr:to>
      <xdr:col>6</xdr:col>
      <xdr:colOff>304800</xdr:colOff>
      <xdr:row>19</xdr:row>
      <xdr:rowOff>137160</xdr:rowOff>
    </xdr:to>
    <xdr:graphicFrame macro="">
      <xdr:nvGraphicFramePr>
        <xdr:cNvPr id="3" name="Chart 2">
          <a:extLst>
            <a:ext uri="{FF2B5EF4-FFF2-40B4-BE49-F238E27FC236}">
              <a16:creationId xmlns:a16="http://schemas.microsoft.com/office/drawing/2014/main" id="{CEC4C3FC-B38A-43D9-8845-8878BC14F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373380</xdr:colOff>
      <xdr:row>4</xdr:row>
      <xdr:rowOff>175260</xdr:rowOff>
    </xdr:from>
    <xdr:to>
      <xdr:col>13</xdr:col>
      <xdr:colOff>198120</xdr:colOff>
      <xdr:row>19</xdr:row>
      <xdr:rowOff>160020</xdr:rowOff>
    </xdr:to>
    <xdr:graphicFrame macro="">
      <xdr:nvGraphicFramePr>
        <xdr:cNvPr id="4" name="Chart 3">
          <a:extLst>
            <a:ext uri="{FF2B5EF4-FFF2-40B4-BE49-F238E27FC236}">
              <a16:creationId xmlns:a16="http://schemas.microsoft.com/office/drawing/2014/main" id="{9EB2DDA9-86F5-423A-A189-4946959A2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175260</xdr:rowOff>
    </xdr:from>
    <xdr:to>
      <xdr:col>6</xdr:col>
      <xdr:colOff>327660</xdr:colOff>
      <xdr:row>34</xdr:row>
      <xdr:rowOff>144780</xdr:rowOff>
    </xdr:to>
    <xdr:graphicFrame macro="">
      <xdr:nvGraphicFramePr>
        <xdr:cNvPr id="5" name="Chart 4">
          <a:extLst>
            <a:ext uri="{FF2B5EF4-FFF2-40B4-BE49-F238E27FC236}">
              <a16:creationId xmlns:a16="http://schemas.microsoft.com/office/drawing/2014/main" id="{8CB6FFEE-93AA-4541-B97C-4C5AFA294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381000</xdr:colOff>
      <xdr:row>20</xdr:row>
      <xdr:rowOff>7620</xdr:rowOff>
    </xdr:from>
    <xdr:to>
      <xdr:col>13</xdr:col>
      <xdr:colOff>213360</xdr:colOff>
      <xdr:row>34</xdr:row>
      <xdr:rowOff>106680</xdr:rowOff>
    </xdr:to>
    <xdr:graphicFrame macro="">
      <xdr:nvGraphicFramePr>
        <xdr:cNvPr id="6" name="Chart 5">
          <a:extLst>
            <a:ext uri="{FF2B5EF4-FFF2-40B4-BE49-F238E27FC236}">
              <a16:creationId xmlns:a16="http://schemas.microsoft.com/office/drawing/2014/main" id="{204DDA35-D78A-4131-9CB2-CAA87E99B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274320</xdr:colOff>
      <xdr:row>19</xdr:row>
      <xdr:rowOff>167640</xdr:rowOff>
    </xdr:from>
    <xdr:to>
      <xdr:col>19</xdr:col>
      <xdr:colOff>594360</xdr:colOff>
      <xdr:row>34</xdr:row>
      <xdr:rowOff>99060</xdr:rowOff>
    </xdr:to>
    <xdr:graphicFrame macro="">
      <xdr:nvGraphicFramePr>
        <xdr:cNvPr id="7" name="Chart 6">
          <a:extLst>
            <a:ext uri="{FF2B5EF4-FFF2-40B4-BE49-F238E27FC236}">
              <a16:creationId xmlns:a16="http://schemas.microsoft.com/office/drawing/2014/main" id="{66A8C4B5-B013-4FAF-91D1-CF19644EA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259080</xdr:colOff>
      <xdr:row>4</xdr:row>
      <xdr:rowOff>175260</xdr:rowOff>
    </xdr:from>
    <xdr:to>
      <xdr:col>19</xdr:col>
      <xdr:colOff>563880</xdr:colOff>
      <xdr:row>19</xdr:row>
      <xdr:rowOff>129540</xdr:rowOff>
    </xdr:to>
    <xdr:graphicFrame macro="">
      <xdr:nvGraphicFramePr>
        <xdr:cNvPr id="8" name="Chart 7">
          <a:extLst>
            <a:ext uri="{FF2B5EF4-FFF2-40B4-BE49-F238E27FC236}">
              <a16:creationId xmlns:a16="http://schemas.microsoft.com/office/drawing/2014/main" id="{72C4D074-772D-4B2C-9FFA-6D5825959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22860</xdr:colOff>
      <xdr:row>15</xdr:row>
      <xdr:rowOff>121920</xdr:rowOff>
    </xdr:from>
    <xdr:to>
      <xdr:col>23</xdr:col>
      <xdr:colOff>91440</xdr:colOff>
      <xdr:row>34</xdr:row>
      <xdr:rowOff>137160</xdr:rowOff>
    </xdr:to>
    <mc:AlternateContent xmlns:mc="http://schemas.openxmlformats.org/markup-compatibility/2006" xmlns:a14="http://schemas.microsoft.com/office/drawing/2010/main">
      <mc:Choice Requires="a14">
        <xdr:graphicFrame macro="">
          <xdr:nvGraphicFramePr>
            <xdr:cNvPr id="14" name="Occasion">
              <a:extLst>
                <a:ext uri="{FF2B5EF4-FFF2-40B4-BE49-F238E27FC236}">
                  <a16:creationId xmlns:a16="http://schemas.microsoft.com/office/drawing/2014/main" id="{142F5CC2-6728-4AF0-8AB0-A5174674721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230100" y="2865120"/>
              <a:ext cx="1897380" cy="3489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68580</xdr:colOff>
      <xdr:row>0</xdr:row>
      <xdr:rowOff>53340</xdr:rowOff>
    </xdr:from>
    <xdr:to>
      <xdr:col>19</xdr:col>
      <xdr:colOff>586740</xdr:colOff>
      <xdr:row>4</xdr:row>
      <xdr:rowOff>129540</xdr:rowOff>
    </xdr:to>
    <xdr:sp macro="" textlink="'Pivot Tables'!E3">
      <xdr:nvSpPr>
        <xdr:cNvPr id="17" name="Rectangle: Rounded Corners 16">
          <a:extLst>
            <a:ext uri="{FF2B5EF4-FFF2-40B4-BE49-F238E27FC236}">
              <a16:creationId xmlns:a16="http://schemas.microsoft.com/office/drawing/2014/main" id="{0F3D4447-FFFE-4A38-871F-FC1B05C2E652}"/>
            </a:ext>
          </a:extLst>
        </xdr:cNvPr>
        <xdr:cNvSpPr/>
      </xdr:nvSpPr>
      <xdr:spPr>
        <a:xfrm>
          <a:off x="9837420" y="53340"/>
          <a:ext cx="234696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639E5DF-7C15-414A-82AB-FEE7044E6000}"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 Spending</a:t>
          </a:r>
        </a:p>
        <a:p>
          <a:pPr algn="ctr"/>
          <a:r>
            <a:rPr lang="en-US" sz="1600" b="0" i="0" u="none" strike="noStrike">
              <a:solidFill>
                <a:srgbClr val="000000"/>
              </a:solidFill>
              <a:latin typeface="Calibri"/>
              <a:ea typeface="Calibri"/>
              <a:cs typeface="Calibri"/>
            </a:rPr>
            <a:t> </a:t>
          </a:r>
          <a:endParaRPr lang="en-IN" sz="1100" b="0"/>
        </a:p>
      </xdr:txBody>
    </xdr:sp>
    <xdr:clientData/>
  </xdr:twoCellAnchor>
  <xdr:twoCellAnchor>
    <xdr:from>
      <xdr:col>12</xdr:col>
      <xdr:colOff>236220</xdr:colOff>
      <xdr:row>0</xdr:row>
      <xdr:rowOff>53340</xdr:rowOff>
    </xdr:from>
    <xdr:to>
      <xdr:col>15</xdr:col>
      <xdr:colOff>601980</xdr:colOff>
      <xdr:row>4</xdr:row>
      <xdr:rowOff>114300</xdr:rowOff>
    </xdr:to>
    <xdr:sp macro="" textlink="'Pivot Tables'!C3">
      <xdr:nvSpPr>
        <xdr:cNvPr id="18" name="Rectangle: Rounded Corners 17">
          <a:extLst>
            <a:ext uri="{FF2B5EF4-FFF2-40B4-BE49-F238E27FC236}">
              <a16:creationId xmlns:a16="http://schemas.microsoft.com/office/drawing/2014/main" id="{E499DC2E-CC35-4FD8-91BE-E077906A322B}"/>
            </a:ext>
          </a:extLst>
        </xdr:cNvPr>
        <xdr:cNvSpPr/>
      </xdr:nvSpPr>
      <xdr:spPr>
        <a:xfrm>
          <a:off x="7566660" y="53340"/>
          <a:ext cx="2194560" cy="792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A2B7327-92EA-464F-B531-F883EEE4B826}" type="TxLink">
            <a:rPr lang="en-US" sz="1800" b="0" i="0" u="none" strike="noStrike">
              <a:solidFill>
                <a:srgbClr val="000000"/>
              </a:solidFill>
              <a:latin typeface="Calibri"/>
              <a:ea typeface="Calibri"/>
              <a:cs typeface="Calibri"/>
            </a:rPr>
            <a:pPr algn="ctr"/>
            <a:t>5.53</a:t>
          </a:fld>
          <a:endParaRPr lang="en-US" sz="1100" b="0" i="0" u="none" strike="noStrike">
            <a:solidFill>
              <a:srgbClr val="000000"/>
            </a:solidFill>
            <a:latin typeface="Calibri"/>
            <a:ea typeface="Calibri"/>
            <a:cs typeface="Calibri"/>
          </a:endParaRPr>
        </a:p>
        <a:p>
          <a:pPr algn="ctr"/>
          <a:r>
            <a:rPr lang="en-IN" sz="1600" b="0" baseline="0">
              <a:solidFill>
                <a:schemeClr val="tx1"/>
              </a:solidFill>
            </a:rPr>
            <a:t>Order to Delivery Time</a:t>
          </a:r>
        </a:p>
        <a:p>
          <a:pPr algn="ctr"/>
          <a:r>
            <a:rPr lang="en-IN" sz="1400" b="0" baseline="0">
              <a:solidFill>
                <a:schemeClr val="tx1"/>
              </a:solidFill>
            </a:rPr>
            <a:t> </a:t>
          </a:r>
          <a:endParaRPr lang="en-IN" sz="1600" b="0" baseline="0"/>
        </a:p>
        <a:p>
          <a:pPr algn="l"/>
          <a:endParaRPr lang="en-IN" sz="1600" b="0">
            <a:solidFill>
              <a:schemeClr val="tx1"/>
            </a:solidFill>
          </a:endParaRPr>
        </a:p>
      </xdr:txBody>
    </xdr:sp>
    <xdr:clientData/>
  </xdr:twoCellAnchor>
  <xdr:twoCellAnchor>
    <xdr:from>
      <xdr:col>5</xdr:col>
      <xdr:colOff>0</xdr:colOff>
      <xdr:row>0</xdr:row>
      <xdr:rowOff>30480</xdr:rowOff>
    </xdr:from>
    <xdr:to>
      <xdr:col>8</xdr:col>
      <xdr:colOff>312420</xdr:colOff>
      <xdr:row>4</xdr:row>
      <xdr:rowOff>106680</xdr:rowOff>
    </xdr:to>
    <xdr:sp macro="" textlink="">
      <xdr:nvSpPr>
        <xdr:cNvPr id="19" name="Rectangle: Rounded Corners 18">
          <a:extLst>
            <a:ext uri="{FF2B5EF4-FFF2-40B4-BE49-F238E27FC236}">
              <a16:creationId xmlns:a16="http://schemas.microsoft.com/office/drawing/2014/main" id="{6ADAED2D-8CCB-475C-9719-19FB831C2A38}"/>
            </a:ext>
          </a:extLst>
        </xdr:cNvPr>
        <xdr:cNvSpPr/>
      </xdr:nvSpPr>
      <xdr:spPr>
        <a:xfrm>
          <a:off x="3048000" y="30480"/>
          <a:ext cx="215646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rgbClr val="000000"/>
              </a:solidFill>
              <a:latin typeface="Calibri"/>
              <a:ea typeface="Calibri"/>
              <a:cs typeface="Calibri"/>
            </a:rPr>
            <a:t>1000</a:t>
          </a:r>
        </a:p>
        <a:p>
          <a:pPr algn="ctr"/>
          <a:r>
            <a:rPr lang="en-US" sz="1600" b="0" i="0" u="none" strike="noStrike">
              <a:solidFill>
                <a:srgbClr val="000000"/>
              </a:solidFill>
              <a:latin typeface="Calibri"/>
              <a:ea typeface="Calibri"/>
              <a:cs typeface="Calibri"/>
            </a:rPr>
            <a:t>Total Orders</a:t>
          </a:r>
        </a:p>
      </xdr:txBody>
    </xdr:sp>
    <xdr:clientData/>
  </xdr:twoCellAnchor>
  <xdr:twoCellAnchor>
    <xdr:from>
      <xdr:col>8</xdr:col>
      <xdr:colOff>403860</xdr:colOff>
      <xdr:row>0</xdr:row>
      <xdr:rowOff>45720</xdr:rowOff>
    </xdr:from>
    <xdr:to>
      <xdr:col>12</xdr:col>
      <xdr:colOff>152400</xdr:colOff>
      <xdr:row>4</xdr:row>
      <xdr:rowOff>121920</xdr:rowOff>
    </xdr:to>
    <xdr:sp macro="" textlink="'Pivot Tables'!A3">
      <xdr:nvSpPr>
        <xdr:cNvPr id="20" name="Rectangle: Rounded Corners 19">
          <a:extLst>
            <a:ext uri="{FF2B5EF4-FFF2-40B4-BE49-F238E27FC236}">
              <a16:creationId xmlns:a16="http://schemas.microsoft.com/office/drawing/2014/main" id="{C43D5E74-020F-4B71-BC02-E07919ED761F}"/>
            </a:ext>
          </a:extLst>
        </xdr:cNvPr>
        <xdr:cNvSpPr/>
      </xdr:nvSpPr>
      <xdr:spPr>
        <a:xfrm>
          <a:off x="5295900" y="45720"/>
          <a:ext cx="218694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A29562D-53CB-4030-ABB7-0AA1A2033DAD}"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Revenue</a:t>
          </a:r>
        </a:p>
        <a:p>
          <a:pPr algn="ctr"/>
          <a:endParaRPr lang="en-US" sz="1600" b="0" i="0" u="none" strike="noStrike">
            <a:solidFill>
              <a:srgbClr val="000000"/>
            </a:solidFill>
            <a:latin typeface="Calibri"/>
            <a:ea typeface="Calibri"/>
            <a:cs typeface="Calibri"/>
          </a:endParaRPr>
        </a:p>
        <a:p>
          <a:pPr algn="l"/>
          <a:endParaRPr lang="en-IN" sz="1100"/>
        </a:p>
      </xdr:txBody>
    </xdr:sp>
    <xdr:clientData/>
  </xdr:twoCellAnchor>
  <xdr:twoCellAnchor editAs="oneCell">
    <xdr:from>
      <xdr:col>20</xdr:col>
      <xdr:colOff>22860</xdr:colOff>
      <xdr:row>0</xdr:row>
      <xdr:rowOff>68580</xdr:rowOff>
    </xdr:from>
    <xdr:to>
      <xdr:col>23</xdr:col>
      <xdr:colOff>106680</xdr:colOff>
      <xdr:row>7</xdr:row>
      <xdr:rowOff>160020</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2C0EC8D4-76EA-0E97-B070-D0455C7AE22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230100" y="68580"/>
              <a:ext cx="19126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15240</xdr:colOff>
      <xdr:row>8</xdr:row>
      <xdr:rowOff>0</xdr:rowOff>
    </xdr:from>
    <xdr:to>
      <xdr:col>23</xdr:col>
      <xdr:colOff>99060</xdr:colOff>
      <xdr:row>15</xdr:row>
      <xdr:rowOff>91440</xdr:rowOff>
    </xdr:to>
    <mc:AlternateContent xmlns:mc="http://schemas.openxmlformats.org/markup-compatibility/2006" xmlns:tsle="http://schemas.microsoft.com/office/drawing/2012/timeslicer">
      <mc:Choice Requires="tsle">
        <xdr:graphicFrame macro="">
          <xdr:nvGraphicFramePr>
            <xdr:cNvPr id="22" name="Delivery_Time">
              <a:extLst>
                <a:ext uri="{FF2B5EF4-FFF2-40B4-BE49-F238E27FC236}">
                  <a16:creationId xmlns:a16="http://schemas.microsoft.com/office/drawing/2014/main" id="{0B008434-0177-694B-828B-D99BD365A9C9}"/>
                </a:ext>
              </a:extLst>
            </xdr:cNvPr>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12222480" y="1463040"/>
              <a:ext cx="19126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99060</xdr:colOff>
      <xdr:row>0</xdr:row>
      <xdr:rowOff>38100</xdr:rowOff>
    </xdr:from>
    <xdr:to>
      <xdr:col>4</xdr:col>
      <xdr:colOff>502920</xdr:colOff>
      <xdr:row>4</xdr:row>
      <xdr:rowOff>114300</xdr:rowOff>
    </xdr:to>
    <xdr:sp macro="" textlink="">
      <xdr:nvSpPr>
        <xdr:cNvPr id="23" name="Rectangle: Rounded Corners 22">
          <a:extLst>
            <a:ext uri="{FF2B5EF4-FFF2-40B4-BE49-F238E27FC236}">
              <a16:creationId xmlns:a16="http://schemas.microsoft.com/office/drawing/2014/main" id="{C421032D-4F7E-4E5D-8EB5-C085D00166FC}"/>
            </a:ext>
          </a:extLst>
        </xdr:cNvPr>
        <xdr:cNvSpPr/>
      </xdr:nvSpPr>
      <xdr:spPr>
        <a:xfrm>
          <a:off x="99060" y="38100"/>
          <a:ext cx="284226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baseline="0">
              <a:solidFill>
                <a:srgbClr val="000000"/>
              </a:solidFill>
              <a:latin typeface="Calibri"/>
              <a:ea typeface="Calibri"/>
              <a:cs typeface="Calibri"/>
            </a:rPr>
            <a:t>                  </a:t>
          </a:r>
          <a:r>
            <a:rPr lang="en-US" sz="2400" b="0" i="0" u="none" strike="noStrike">
              <a:solidFill>
                <a:srgbClr val="000000"/>
              </a:solidFill>
              <a:latin typeface="Calibri"/>
              <a:ea typeface="Calibri"/>
              <a:cs typeface="Calibri"/>
            </a:rPr>
            <a:t>Sales</a:t>
          </a:r>
          <a:r>
            <a:rPr lang="en-US" sz="2400" b="0" i="0" u="none" strike="noStrike" baseline="0">
              <a:solidFill>
                <a:srgbClr val="000000"/>
              </a:solidFill>
              <a:latin typeface="Calibri"/>
              <a:ea typeface="Calibri"/>
              <a:cs typeface="Calibri"/>
            </a:rPr>
            <a:t> Analysis</a:t>
          </a:r>
          <a:endParaRPr lang="en-US" sz="2000" b="0" i="0" u="none" strike="noStrike" baseline="0">
            <a:solidFill>
              <a:srgbClr val="000000"/>
            </a:solidFill>
            <a:latin typeface="Calibri"/>
            <a:ea typeface="Calibri"/>
            <a:cs typeface="Calibri"/>
          </a:endParaRPr>
        </a:p>
      </xdr:txBody>
    </xdr:sp>
    <xdr:clientData/>
  </xdr:twoCellAnchor>
  <xdr:twoCellAnchor editAs="oneCell">
    <xdr:from>
      <xdr:col>0</xdr:col>
      <xdr:colOff>205740</xdr:colOff>
      <xdr:row>0</xdr:row>
      <xdr:rowOff>76200</xdr:rowOff>
    </xdr:from>
    <xdr:to>
      <xdr:col>1</xdr:col>
      <xdr:colOff>304800</xdr:colOff>
      <xdr:row>4</xdr:row>
      <xdr:rowOff>53340</xdr:rowOff>
    </xdr:to>
    <xdr:pic>
      <xdr:nvPicPr>
        <xdr:cNvPr id="25" name="Picture 24">
          <a:extLst>
            <a:ext uri="{FF2B5EF4-FFF2-40B4-BE49-F238E27FC236}">
              <a16:creationId xmlns:a16="http://schemas.microsoft.com/office/drawing/2014/main" id="{B4343998-BE4E-7549-4FB0-E5B3B983954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5740" y="76200"/>
          <a:ext cx="708660" cy="7086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i Singh" refreshedDate="46024.854632986113" backgroundQuery="1" createdVersion="8" refreshedVersion="8" minRefreshableVersion="3" recordCount="0" supportSubquery="1" supportAdvancedDrill="1" xr:uid="{9AD5BA3E-7614-4C91-A1E7-8DC5FC12B5CB}">
  <cacheSource type="external" connectionId="9"/>
  <cacheFields count="3">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Products].[Category].[Category]" caption="Category" numFmtId="0" hierarchy="33" level="1">
      <sharedItems count="7">
        <s v="Cake"/>
        <s v="Colors"/>
        <s v="Mugs"/>
        <s v="Plants"/>
        <s v="Raksha Bandhan"/>
        <s v="Soft Toys"/>
        <s v="Sweets"/>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delivery]" caption="Diff_order/delivery" attribute="1" defaultMemberUniqueName="[Orders].[Diff_order/delivery].[All]" allUniqueName="[Orders].[Diff_order/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_date)]" caption="Day Name(Order_date)" attribute="1" defaultMemberUniqueName="[Orders].[Day Name(Order_date)].[All]" allUniqueName="[Orders].[Day Name(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i Singh" refreshedDate="46024.854626736109" backgroundQuery="1" createdVersion="8" refreshedVersion="8" minRefreshableVersion="3" recordCount="0" supportSubquery="1" supportAdvancedDrill="1" xr:uid="{9E9C2AF4-56B8-4F1B-A6D3-4E4313715751}">
  <cacheSource type="external" connectionId="9"/>
  <cacheFields count="3">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9"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i Singh" refreshedDate="46024.854627430555" backgroundQuery="1" createdVersion="8" refreshedVersion="8" minRefreshableVersion="3" recordCount="0" supportSubquery="1" supportAdvancedDrill="1" xr:uid="{70E65523-349C-4E64-9179-EDCDA5BA4857}">
  <cacheSource type="external" connectionId="9"/>
  <cacheFields count="4">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i Singh" refreshedDate="46024.854628125002" backgroundQuery="1" createdVersion="8" refreshedVersion="8" minRefreshableVersion="3" recordCount="0" supportSubquery="1" supportAdvancedDrill="1" xr:uid="{45DFEB1E-E81D-4DCC-87C4-6215BA81813E}">
  <cacheSource type="external" connectionId="9"/>
  <cacheFields count="4">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3" level="32767"/>
    <cacheField name="[Orders].[Day Name(Order_date)].[Day Name(Order_date)]" caption="Day Name(Order_date)" numFmtId="0" hierarchy="30" level="1">
      <sharedItems count="7">
        <s v="Friday"/>
        <s v="Monday"/>
        <s v="Saturday"/>
        <s v="Sunday"/>
        <s v="Thursday"/>
        <s v="Tuesday"/>
        <s v="Wednes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i Singh" refreshedDate="46024.854629050926" backgroundQuery="1" createdVersion="8" refreshedVersion="8" minRefreshableVersion="3" recordCount="0" supportSubquery="1" supportAdvancedDrill="1" xr:uid="{3150FF14-C361-4BDF-B306-74D8FFAD8AA6}">
  <cacheSource type="external" connectionId="9"/>
  <cacheFields count="4">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3" level="32767"/>
    <cacheField name="[Orders].[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3"/>
      </fieldsUsage>
    </cacheHierarchy>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i Singh" refreshedDate="46024.854629629626" backgroundQuery="1" createdVersion="8" refreshedVersion="8" minRefreshableVersion="3" recordCount="0" supportSubquery="1" supportAdvancedDrill="1" xr:uid="{91190DFE-8B17-4B71-9753-A2299AF62D96}">
  <cacheSource type="external" connectionId="9"/>
  <cacheFields count="1">
    <cacheField name="[Measures].[Count of Order_ID]" caption="Count of Order_ID" numFmtId="0" hierarchy="49"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i Singh" refreshedDate="46024.854630092595" backgroundQuery="1" createdVersion="8" refreshedVersion="8" minRefreshableVersion="3" recordCount="0" supportSubquery="1" supportAdvancedDrill="1" xr:uid="{4330B287-E0B9-4433-A637-5576388FB5D4}">
  <cacheSource type="external" connectionId="9"/>
  <cacheFields count="1">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i Singh" refreshedDate="46024.854630555557" backgroundQuery="1" createdVersion="8" refreshedVersion="8" minRefreshableVersion="3" recordCount="0" supportSubquery="1" supportAdvancedDrill="1" xr:uid="{64BD625B-9C7E-4FBE-A35E-7F06A03E4210}">
  <cacheSource type="external" connectionId="9"/>
  <cacheFields count="1">
    <cacheField name="[Measures].[Average of Diff_order/delivery]" caption="Average of Diff_order/delivery" numFmtId="0" hierarchy="46"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i Singh" refreshedDate="46024.854631134258" backgroundQuery="1" createdVersion="8" refreshedVersion="8" minRefreshableVersion="3" recordCount="0" supportSubquery="1" supportAdvancedDrill="1" xr:uid="{663A4501-1A47-4C9A-8D56-3C68BAD64203}">
  <cacheSource type="external" connectionId="9"/>
  <cacheFields count="2">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i Singh" refreshedDate="46024.854631944443" backgroundQuery="1" createdVersion="8" refreshedVersion="8" minRefreshableVersion="3" recordCount="0" supportSubquery="1" supportAdvancedDrill="1" xr:uid="{D7912D69-5D59-4FDB-BA4C-0BB129F3128F}">
  <cacheSource type="external" connectionId="9"/>
  <cacheFields count="3">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Products].[Product_Name].[Product_Name]" caption="Product_Name" numFmtId="0" hierarchy="32" level="1">
      <sharedItems count="5">
        <s v="Deserunt Box"/>
        <s v="Dolores Gift"/>
        <s v="Harum Pack"/>
        <s v="Magnam Set"/>
        <s v="Quia Gift"/>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delivery]" caption="Diff_order/delivery" attribute="1" defaultMemberUniqueName="[Orders].[Diff_order/delivery].[All]" allUniqueName="[Orders].[Diff_order/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_date)]" caption="Day Name(Order_date)" attribute="1" defaultMemberUniqueName="[Orders].[Day Name(Order_date)].[All]" allUniqueName="[Orders].[Day Name(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i Singh" refreshedDate="46024.854632407405" backgroundQuery="1" createdVersion="8" refreshedVersion="8" minRefreshableVersion="3" recordCount="0" supportSubquery="1" supportAdvancedDrill="1" xr:uid="{B30788CA-E375-4066-AE6C-3D353849BB65}">
  <cacheSource type="external" connectionId="9"/>
  <cacheFields count="1">
    <cacheField name="[Measures].[Average of Revenue]" caption="Average of Revenue" numFmtId="0" hierarchy="48"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i Singh" refreshedDate="46024.61940462963" backgroundQuery="1" createdVersion="3" refreshedVersion="8" minRefreshableVersion="3" recordCount="0" supportSubquery="1" supportAdvancedDrill="1" xr:uid="{7385CD57-741A-48D0-B96A-2B0C6323C897}">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51690780"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i Singh" refreshedDate="46024.799953587964" backgroundQuery="1" createdVersion="3" refreshedVersion="8" minRefreshableVersion="3" recordCount="0" supportSubquery="1" supportAdvancedDrill="1" xr:uid="{54072174-D8E8-4898-BAE4-D0C9CF9A14CA}">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pivotCacheId="527546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E6FCC6-7B39-464D-89E3-799212C48BDC}" name="PivotTable11" cacheId="2" applyNumberFormats="0" applyBorderFormats="0" applyFontFormats="0" applyPatternFormats="0" applyAlignmentFormats="0" applyWidthHeightFormats="1" dataCaption="Values" tag="8d1a2649-bbef-4447-9694-21cbb641cab2" updatedVersion="8" minRefreshableVersion="5" useAutoFormatting="1" itemPrintTitles="1" createdVersion="8" indent="0" outline="1" outlineData="1" multipleFieldFilters="0" chartFormat="10">
  <location ref="D7:E1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formats count="6">
    <format dxfId="77">
      <pivotArea type="all" dataOnly="0" outline="0" fieldPosition="0"/>
    </format>
    <format dxfId="76">
      <pivotArea outline="0" collapsedLevelsAreSubtotals="1"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delivery"/>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4" iMeasureHier="49">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EB38AA-7280-42E9-9844-F62A5174DFE2}" name="PivotTable5" cacheId="7" applyNumberFormats="0" applyBorderFormats="0" applyFontFormats="0" applyPatternFormats="0" applyAlignmentFormats="0" applyWidthHeightFormats="1" dataCaption="Values" tag="e63db35d-5bb4-4c8b-8812-5cb6f30eff00" updatedVersion="8" minRefreshableVersion="5" useAutoFormatting="1"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name="Average of Diff_order/delivery" fld="0" subtotal="average" baseField="0" baseItem="0"/>
  </dataFields>
  <formats count="6">
    <format dxfId="83">
      <pivotArea type="all" dataOnly="0" outline="0" fieldPosition="0"/>
    </format>
    <format dxfId="82">
      <pivotArea outline="0" collapsedLevelsAreSubtotals="1"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C4DC9D-CE5B-47A2-92A3-DCB032EBA4A3}" name="PivotTable13" cacheId="4" applyNumberFormats="0" applyBorderFormats="0" applyFontFormats="0" applyPatternFormats="0" applyAlignmentFormats="0" applyWidthHeightFormats="1" dataCaption="Values" tag="2c448044-1e24-44ce-bca6-83681eb6a9a9" updatedVersion="8" minRefreshableVersion="5" useAutoFormatting="1" itemPrintTitles="1" createdVersion="8" indent="0" outline="1" outlineData="1" multipleFieldFilters="0" chartFormat="12">
  <location ref="G17:H4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formats count="6">
    <format dxfId="89">
      <pivotArea type="all" dataOnly="0" outline="0" fieldPosition="0"/>
    </format>
    <format dxfId="88">
      <pivotArea outline="0" collapsedLevelsAreSubtotals="1"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dataOnly="0" labelOnly="1" outline="0" axis="axisValues" fieldPosition="0"/>
    </format>
  </formats>
  <chartFormats count="2">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delivery"/>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4" iMeasureHier="49">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04AA1A-D091-4EC2-B90B-F5DBD0A7CEE2}" name="PivotTable10" cacheId="1" applyNumberFormats="0" applyBorderFormats="0" applyFontFormats="0" applyPatternFormats="0" applyAlignmentFormats="0" applyWidthHeightFormats="1" dataCaption="Values" tag="aa3dfd8e-b2cf-4a84-88fd-fcfd752868fe" updatedVersion="8" minRefreshableVersion="5" useAutoFormatting="1" itemPrintTitles="1" createdVersion="8" indent="0" outline="1" outlineData="1" multipleFieldFilters="0" chartFormat="6">
  <location ref="J7:K1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formats count="6">
    <format dxfId="95">
      <pivotArea type="all" dataOnly="0" outline="0" fieldPosition="0"/>
    </format>
    <format dxfId="94">
      <pivotArea outline="0" collapsedLevelsAreSubtotals="1"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delivery"/>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4"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59CA7B-C8BB-43FB-A89F-20D522C76F30}" name="PivotTable8" cacheId="10" applyNumberFormats="0" applyBorderFormats="0" applyFontFormats="0" applyPatternFormats="0" applyAlignmentFormats="0" applyWidthHeightFormats="1" dataCaption="Values" tag="2d5e3679-7b39-46a4-b655-fc9cfd8aeebe" updatedVersion="8" minRefreshableVersion="5" useAutoFormatting="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formats count="6">
    <format dxfId="101">
      <pivotArea type="all" dataOnly="0" outline="0" fieldPosition="0"/>
    </format>
    <format dxfId="100">
      <pivotArea outline="0" collapsedLevelsAreSubtotals="1"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delivery"/>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ECCDCA-1476-4486-9651-DBB18015C3B2}" name="PivotTable12" cacheId="3" applyNumberFormats="0" applyBorderFormats="0" applyFontFormats="0" applyPatternFormats="0" applyAlignmentFormats="0" applyWidthHeightFormats="1" dataCaption="Values" tag="15a0fdc5-8633-4f89-8d84-ba5a2e85367e" updatedVersion="8" minRefreshableVersion="5" useAutoFormatting="1" itemPrintTitles="1" createdVersion="8" indent="0" outline="1" outlineData="1" multipleFieldFilters="0" chartFormat="6">
  <location ref="A14:B2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2" baseField="0" baseItem="0"/>
  </dataFields>
  <formats count="6">
    <format dxfId="107">
      <pivotArea type="all" dataOnly="0" outline="0" fieldPosition="0"/>
    </format>
    <format dxfId="106">
      <pivotArea outline="0" collapsedLevelsAreSubtotals="1"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delivery"/>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4" iMeasureHier="49">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02D5C6-F247-46EE-99AA-BA0B8727981C}" name="PivotTable4" cacheId="6" applyNumberFormats="0" applyBorderFormats="0" applyFontFormats="0" applyPatternFormats="0" applyAlignmentFormats="0" applyWidthHeightFormats="1" dataCaption="Values" tag="ab206b43-33be-4e6c-8976-5a3570b2f90a" updatedVersion="8" minRefreshableVersion="5" useAutoFormatting="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Sum of Revenue" fld="0" baseField="0" baseItem="0"/>
  </dataFields>
  <formats count="6">
    <format dxfId="113">
      <pivotArea type="all" dataOnly="0" outline="0" fieldPosition="0"/>
    </format>
    <format dxfId="112">
      <pivotArea outline="0" collapsedLevelsAreSubtotals="1"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417CD3-9012-4760-BA64-85B0331DD990}" name="PivotTable7" cacheId="9" applyNumberFormats="0" applyBorderFormats="0" applyFontFormats="0" applyPatternFormats="0" applyAlignmentFormats="0" applyWidthHeightFormats="1" dataCaption="Values" tag="0085f8cd-6f34-4fe4-8bc5-2bae286d429f" updatedVersion="8" minRefreshableVersion="5" useAutoFormatting="1" itemPrintTitles="1" createdVersion="8" indent="0" outline="1" outlineData="1" multipleFieldFilters="0" chartFormat="14">
  <location ref="A5:B1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1" baseField="0" baseItem="0"/>
  </dataFields>
  <formats count="6">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36A93F-A60E-4DBD-AE3D-7DB6A6CB83D6}" name="PivotTable9" cacheId="0" applyNumberFormats="0" applyBorderFormats="0" applyFontFormats="0" applyPatternFormats="0" applyAlignmentFormats="0" applyWidthHeightFormats="1" dataCaption="Values" tag="c1a618d3-8c1b-4bcf-8bf9-01c6b77e208f" updatedVersion="8" minRefreshableVersion="5" useAutoFormatting="1" itemPrintTitles="1" createdVersion="8" indent="0" outline="1" outlineData="1" multipleFieldFilters="0" chartFormat="8">
  <location ref="G7:H1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formats count="6">
    <format dxfId="125">
      <pivotArea type="all" dataOnly="0" outline="0" fieldPosition="0"/>
    </format>
    <format dxfId="124">
      <pivotArea outline="0" collapsedLevelsAreSubtotals="1"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delive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90AE3E-07F4-44A8-AEEB-9DDC64CA8BAE}" name="PivotTable6" cacheId="8" applyNumberFormats="0" applyBorderFormats="0" applyFontFormats="0" applyPatternFormats="0" applyAlignmentFormats="0" applyWidthHeightFormats="1" dataCaption="Values" tag="e988205b-19e6-414b-9827-2ebd6440e3cc" updatedVersion="8" minRefreshableVersion="5" useAutoFormatting="1" itemPrintTitles="1" createdVersion="8" indent="0" outline="1" outlineData="1" multipleFieldFilters="0" chartFormat="6">
  <location ref="D17:E30"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formats count="6">
    <format dxfId="131">
      <pivotArea type="all" dataOnly="0" outline="0" fieldPosition="0"/>
    </format>
    <format dxfId="130">
      <pivotArea outline="0" collapsedLevelsAreSubtotals="1"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delive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1F027E-3933-427C-9264-BA6AD5DFFF9A}" name="PivotTable15" cacheId="5" applyNumberFormats="0" applyBorderFormats="0" applyFontFormats="0" applyPatternFormats="0" applyAlignmentFormats="0" applyWidthHeightFormats="1" dataCaption="Values" tag="6f790803-d1e1-4530-ab9c-fff5484914da" updatedVersion="8" minRefreshableVersion="5" useAutoFormatting="1" subtotalHiddenItems="1"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formats count="6">
    <format dxfId="137">
      <pivotArea type="all" dataOnly="0" outline="0" fieldPosition="0"/>
    </format>
    <format dxfId="136">
      <pivotArea outline="0" collapsedLevelsAreSubtotals="1" fieldPosition="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delivery"/>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F161117-C0E4-4178-8FAC-87A28335340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9B81B9D-8C15-442A-8C5C-2A864D2F5F5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9F52674-968A-4313-B92C-F45E7F12F958}"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Hour(Order)" tableColumnId="12"/>
      <queryTableField id="13" name="Diff_order/delivery" tableColumnId="13"/>
      <queryTableField id="14" name="Hour(Delivery)" tableColumnId="14"/>
      <queryTableField id="15" name="Price (INR)" tableColumnId="15"/>
      <queryTableField id="16" name="Revenue" tableColumnId="16"/>
      <queryTableField id="17" name="Day Name(Order_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71B7657-C5A7-401F-A2C9-2341183CD63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9ED7053-5011-4FAD-856C-7C5F4B5A2B5C}" sourceName="[Orders].[Occasion]">
  <pivotTables>
    <pivotTable tabId="1" name="PivotTable7"/>
    <pivotTable tabId="1" name="PivotTable10"/>
    <pivotTable tabId="1" name="PivotTable12"/>
    <pivotTable tabId="1" name="PivotTable13"/>
    <pivotTable tabId="1" name="PivotTable15"/>
    <pivotTable tabId="1" name="PivotTable4"/>
    <pivotTable tabId="1" name="PivotTable5"/>
    <pivotTable tabId="1" name="PivotTable6"/>
    <pivotTable tabId="1" name="PivotTable8"/>
    <pivotTable tabId="1" name="PivotTable9"/>
  </pivotTables>
  <data>
    <olap pivotCacheId="5169078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D31D166-D335-4A43-8922-C13EA02FAF08}"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0228E6-AC51-4BDC-B9E7-8AA57EA30AE2}" name="FnP_Datasets" displayName="FnP_Datasets" ref="A1:F4" tableType="queryTable" totalsRowShown="0">
  <autoFilter ref="A1:F4" xr:uid="{1A0228E6-AC51-4BDC-B9E7-8AA57EA30AE2}"/>
  <tableColumns count="6">
    <tableColumn id="1" xr3:uid="{BB889496-5C25-4199-9FB0-8C99A5DEF525}" uniqueName="1" name="Name" queryTableFieldId="1" dataDxfId="161"/>
    <tableColumn id="2" xr3:uid="{5EFC27A2-7EE9-43F9-B22E-D68359F6BCAC}" uniqueName="2" name="Extension" queryTableFieldId="2" dataDxfId="160"/>
    <tableColumn id="3" xr3:uid="{5672F487-FCC0-491E-A5D2-1C92DB199AB7}" uniqueName="3" name="Date accessed" queryTableFieldId="3" dataDxfId="159"/>
    <tableColumn id="4" xr3:uid="{552B752C-C0D6-483D-8553-ADCDDC1A79D3}" uniqueName="4" name="Date modified" queryTableFieldId="4" dataDxfId="158"/>
    <tableColumn id="5" xr3:uid="{21D613E0-6B73-41BD-89BF-6F1AFF84DB4F}" uniqueName="5" name="Date created" queryTableFieldId="5" dataDxfId="157"/>
    <tableColumn id="6" xr3:uid="{5E44046A-4938-4C92-A76F-416B542877CA}" uniqueName="6" name="Folder Path" queryTableFieldId="6" dataDxfId="15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6EF48C-2D1F-4986-BB69-0988EEE04F97}" name="Customers" displayName="Customers" ref="A1:G101" tableType="queryTable" totalsRowShown="0">
  <autoFilter ref="A1:G101" xr:uid="{E36EF48C-2D1F-4986-BB69-0988EEE04F97}"/>
  <tableColumns count="7">
    <tableColumn id="1" xr3:uid="{745973E3-E29F-4F92-9489-BD4209BAF099}" uniqueName="1" name="Customer_ID" queryTableFieldId="1" dataDxfId="155"/>
    <tableColumn id="2" xr3:uid="{01C7C945-D0B7-4F4C-9FEB-88CD7E73D27F}" uniqueName="2" name="Name" queryTableFieldId="2" dataDxfId="154"/>
    <tableColumn id="3" xr3:uid="{A5BAEC6F-6702-4517-89B0-90A6D985A7EB}" uniqueName="3" name="City" queryTableFieldId="3" dataDxfId="153"/>
    <tableColumn id="4" xr3:uid="{66600890-8ECE-4109-A55F-A149F943DACF}" uniqueName="4" name="Contact_Number" queryTableFieldId="4" dataDxfId="152"/>
    <tableColumn id="5" xr3:uid="{86737573-6A31-4311-9BDA-95118F4EC62B}" uniqueName="5" name="Email" queryTableFieldId="5" dataDxfId="151"/>
    <tableColumn id="6" xr3:uid="{69D5FBA3-D979-4EB4-AD9A-5566BF9D8B5E}" uniqueName="6" name="Gender" queryTableFieldId="6" dataDxfId="150"/>
    <tableColumn id="7" xr3:uid="{1AA13E42-48EB-45C6-B546-68D4F74A013E}" uniqueName="7" name="Address" queryTableFieldId="7" dataDxfId="14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F0ADD2-F9E0-4363-B6C1-1A450BD478F5}" name="Orders" displayName="Orders" ref="A1:Q1001" tableType="queryTable" totalsRowShown="0">
  <autoFilter ref="A1:Q1001" xr:uid="{F7F0ADD2-F9E0-4363-B6C1-1A450BD478F5}"/>
  <tableColumns count="17">
    <tableColumn id="1" xr3:uid="{F3A37765-7573-44E4-9556-B21331E905DD}" uniqueName="1" name="Order_ID" queryTableFieldId="1"/>
    <tableColumn id="2" xr3:uid="{50FC62D7-2636-45C9-9A53-DCE9E51262D9}" uniqueName="2" name="Customer_ID" queryTableFieldId="2" dataDxfId="148"/>
    <tableColumn id="3" xr3:uid="{EC1AE887-FAB4-4F8F-A825-EC277436482D}" uniqueName="3" name="Product_ID" queryTableFieldId="3"/>
    <tableColumn id="4" xr3:uid="{9DD1AF60-5988-434A-95FE-053139E45006}" uniqueName="4" name="Quantity" queryTableFieldId="4"/>
    <tableColumn id="5" xr3:uid="{4F432C11-6664-4692-8091-AA34E900699B}" uniqueName="5" name="Order_Date" queryTableFieldId="5" dataDxfId="147"/>
    <tableColumn id="6" xr3:uid="{BC27C15F-A012-469B-BEEF-BC85A16BB15B}" uniqueName="6" name="Order_Time" queryTableFieldId="6" dataDxfId="146"/>
    <tableColumn id="7" xr3:uid="{9F84EE65-D147-4B57-8842-15F096E8E865}" uniqueName="7" name="Delivery_Date" queryTableFieldId="7" dataDxfId="145"/>
    <tableColumn id="8" xr3:uid="{91CF7EFE-18F8-4E2A-B776-A3B6A1432015}" uniqueName="8" name="Delivery_Time" queryTableFieldId="8" dataDxfId="144"/>
    <tableColumn id="9" xr3:uid="{4DABBB5E-7914-48F5-9064-7389968F6561}" uniqueName="9" name="Location" queryTableFieldId="9" dataDxfId="143"/>
    <tableColumn id="10" xr3:uid="{E4FD8517-D86B-4A5E-A6D6-15CD3EAF37BD}" uniqueName="10" name="Occasion" queryTableFieldId="10" dataDxfId="142"/>
    <tableColumn id="11" xr3:uid="{D0EC3FA3-CED0-4715-8427-DDA34DAA47CB}" uniqueName="11" name="Month Name(Order)" queryTableFieldId="11" dataDxfId="141"/>
    <tableColumn id="12" xr3:uid="{D8C0DFB4-95E5-4DBE-9CEC-98C717E94CA9}" uniqueName="12" name="Hour(Order)" queryTableFieldId="12"/>
    <tableColumn id="13" xr3:uid="{E6DB6884-F0B7-4A9C-9BB9-C882B0FBF9C6}" uniqueName="13" name="Diff_order/delivery" queryTableFieldId="13"/>
    <tableColumn id="14" xr3:uid="{23DD6039-DD83-4015-9F2B-C745AFC66A0F}" uniqueName="14" name="Hour(Delivery)" queryTableFieldId="14"/>
    <tableColumn id="15" xr3:uid="{4F5F104D-908B-4DFD-BF11-043AE4EE99C8}" uniqueName="15" name="Price (INR)" queryTableFieldId="15"/>
    <tableColumn id="16" xr3:uid="{BB7521C0-97C4-4462-907F-52EE1EA38F6F}" uniqueName="16" name="Revenue" queryTableFieldId="16"/>
    <tableColumn id="17" xr3:uid="{1305F05B-6FC3-488F-86F1-DBF35546AFC5}" uniqueName="17" name="Day Name(Order_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BA4138-EB34-4010-8349-DA8B2BC73EFD}" name="Products" displayName="Products" ref="A1:E71" tableType="queryTable" totalsRowShown="0">
  <autoFilter ref="A1:E71" xr:uid="{06BA4138-EB34-4010-8349-DA8B2BC73EFD}"/>
  <tableColumns count="5">
    <tableColumn id="1" xr3:uid="{3F4243AD-9098-4F45-9A02-07027477367B}" uniqueName="1" name="Product_ID" queryTableFieldId="1"/>
    <tableColumn id="2" xr3:uid="{EDFB24F8-465E-4300-B210-96304B9A160E}" uniqueName="2" name="Product_Name" queryTableFieldId="2" dataDxfId="140"/>
    <tableColumn id="3" xr3:uid="{87D299A3-4CB8-409A-8131-EC27B15D77C8}" uniqueName="3" name="Category" queryTableFieldId="3" dataDxfId="139"/>
    <tableColumn id="4" xr3:uid="{75A73D5F-86AA-496F-A5F5-532BBEF98F26}" uniqueName="4" name="Price (INR)" queryTableFieldId="4"/>
    <tableColumn id="5" xr3:uid="{0C180A56-4EBD-408F-A7E9-BE67E4D5F417}" uniqueName="5" name="Occasion" queryTableFieldId="5" dataDxfId="13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C642203-232B-4839-B7D9-5A2AFCB764C0}" sourceName="[Orders].[Order_Date]">
  <pivotTables>
    <pivotTable tabId="1" name="PivotTable9"/>
    <pivotTable tabId="1" name="PivotTable10"/>
    <pivotTable tabId="1" name="PivotTable11"/>
    <pivotTable tabId="1" name="PivotTable12"/>
    <pivotTable tabId="1" name="PivotTable13"/>
    <pivotTable tabId="1" name="PivotTable15"/>
    <pivotTable tabId="1" name="PivotTable4"/>
    <pivotTable tabId="1" name="PivotTable5"/>
    <pivotTable tabId="1" name="PivotTable6"/>
    <pivotTable tabId="1" name="PivotTable7"/>
    <pivotTable tabId="1" name="PivotTable8"/>
  </pivotTables>
  <state minimalRefreshVersion="6" lastRefreshVersion="6" pivotCacheId="5275460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0B62D8BD-74A3-4BB9-AEE2-5B1A05AB3786}" sourceName="[Orders].[Delivery_Time]">
  <pivotTables>
    <pivotTable tabId="1" name="PivotTable9"/>
    <pivotTable tabId="1" name="PivotTable10"/>
    <pivotTable tabId="1" name="PivotTable11"/>
    <pivotTable tabId="1" name="PivotTable12"/>
    <pivotTable tabId="1" name="PivotTable13"/>
    <pivotTable tabId="1" name="PivotTable15"/>
    <pivotTable tabId="1" name="PivotTable4"/>
    <pivotTable tabId="1" name="PivotTable5"/>
    <pivotTable tabId="1" name="PivotTable6"/>
    <pivotTable tabId="1" name="PivotTable7"/>
    <pivotTable tabId="1" name="PivotTable8"/>
  </pivotTables>
  <state minimalRefreshVersion="6" lastRefreshVersion="6" pivotCacheId="52754604"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AAB1E98-838D-4EB5-A568-073DD91027F0}" cache="Timeline_Order_Date" caption="Order_Date" level="2" selectionLevel="2" scrollPosition="2023-06-06T00:00:00"/>
  <timeline name="Delivery_Time" xr10:uid="{8FD3663D-7BC1-490E-8968-94CBEB3A9CAD}" cache="Timeline_Delivery_Time" caption="Delivery_Time" level="2" selectionLevel="2" scrollPosition="1900-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8A375-A8E2-4996-8014-82873F2E364A}">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5.5546875" bestFit="1" customWidth="1"/>
  </cols>
  <sheetData>
    <row r="1" spans="1:6" x14ac:dyDescent="0.3">
      <c r="A1" t="s">
        <v>0</v>
      </c>
      <c r="B1" t="s">
        <v>1</v>
      </c>
      <c r="C1" t="s">
        <v>2</v>
      </c>
      <c r="D1" t="s">
        <v>3</v>
      </c>
      <c r="E1" t="s">
        <v>4</v>
      </c>
      <c r="F1" t="s">
        <v>5</v>
      </c>
    </row>
    <row r="2" spans="1:6" x14ac:dyDescent="0.3">
      <c r="A2" t="s">
        <v>6</v>
      </c>
      <c r="B2" t="s">
        <v>7</v>
      </c>
      <c r="C2" s="1">
        <v>46024.538360763887</v>
      </c>
      <c r="D2" s="1">
        <v>46024.526782831788</v>
      </c>
      <c r="E2" s="1">
        <v>46024.52677507716</v>
      </c>
      <c r="F2" t="s">
        <v>8</v>
      </c>
    </row>
    <row r="3" spans="1:6" x14ac:dyDescent="0.3">
      <c r="A3" t="s">
        <v>9</v>
      </c>
      <c r="B3" t="s">
        <v>7</v>
      </c>
      <c r="C3" s="1">
        <v>46024.559154938273</v>
      </c>
      <c r="D3" s="1">
        <v>46024.526894444447</v>
      </c>
      <c r="E3" s="1">
        <v>46024.526887615742</v>
      </c>
      <c r="F3" t="s">
        <v>8</v>
      </c>
    </row>
    <row r="4" spans="1:6" x14ac:dyDescent="0.3">
      <c r="A4" t="s">
        <v>10</v>
      </c>
      <c r="B4" t="s">
        <v>7</v>
      </c>
      <c r="C4" s="1">
        <v>46024.55915459105</v>
      </c>
      <c r="D4" s="1">
        <v>46024.537780092593</v>
      </c>
      <c r="E4" s="1">
        <v>46024.52693557099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A3AFF-0A8E-41E7-9E86-69C90312C972}">
  <dimension ref="A1:G101"/>
  <sheetViews>
    <sheetView workbookViewId="0">
      <selection activeCell="I11" sqref="I1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F0AF6-05D5-4DE1-A8CB-8650FCD403F1}">
  <dimension ref="A1:Q1001"/>
  <sheetViews>
    <sheetView workbookViewId="0">
      <selection activeCell="D1" sqref="D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0.77734375" bestFit="1" customWidth="1"/>
    <col min="12" max="12" width="13.44140625" bestFit="1" customWidth="1"/>
    <col min="13" max="13" width="19.5546875" bestFit="1" customWidth="1"/>
    <col min="14" max="14" width="15.5546875" bestFit="1" customWidth="1"/>
    <col min="15" max="15" width="12.109375" bestFit="1" customWidth="1"/>
    <col min="16" max="16" width="10.5546875" bestFit="1" customWidth="1"/>
    <col min="17" max="17" width="23"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F4651-F81C-4F67-A456-6FE7E59FE90E}">
  <dimension ref="A1:E71"/>
  <sheetViews>
    <sheetView workbookViewId="0">
      <selection activeCell="E2" sqref="E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0C8C1-1795-41B4-AFFF-710545F1621C}">
  <dimension ref="A2:K42"/>
  <sheetViews>
    <sheetView tabSelected="1" topLeftCell="A11" workbookViewId="0">
      <selection activeCell="G17" sqref="G17:H42"/>
    </sheetView>
  </sheetViews>
  <sheetFormatPr defaultRowHeight="14.4" x14ac:dyDescent="0.3"/>
  <cols>
    <col min="1" max="2" width="14.88671875" bestFit="1" customWidth="1"/>
    <col min="3" max="3" width="27.44140625" bestFit="1" customWidth="1"/>
    <col min="4" max="4" width="14.88671875" bestFit="1" customWidth="1"/>
    <col min="5" max="5" width="27.109375" bestFit="1" customWidth="1"/>
    <col min="6" max="6" width="12.5546875" bestFit="1" customWidth="1"/>
    <col min="7" max="7" width="16.44140625" bestFit="1" customWidth="1"/>
    <col min="8" max="8" width="14.88671875" bestFit="1" customWidth="1"/>
    <col min="9" max="9" width="16.44140625" bestFit="1" customWidth="1"/>
    <col min="10" max="10" width="15.109375" bestFit="1" customWidth="1"/>
    <col min="11" max="11" width="16.44140625" bestFit="1" customWidth="1"/>
    <col min="12" max="18" width="15.5546875" bestFit="1" customWidth="1"/>
    <col min="19" max="19" width="10.77734375" bestFit="1" customWidth="1"/>
  </cols>
  <sheetData>
    <row r="2" spans="1:11" x14ac:dyDescent="0.3">
      <c r="A2" s="4" t="s">
        <v>943</v>
      </c>
      <c r="C2" s="4" t="s">
        <v>944</v>
      </c>
      <c r="E2" s="4" t="s">
        <v>946</v>
      </c>
      <c r="G2" s="4" t="s">
        <v>945</v>
      </c>
    </row>
    <row r="3" spans="1:11" x14ac:dyDescent="0.3">
      <c r="A3" s="5">
        <v>3520984</v>
      </c>
      <c r="C3" s="4">
        <v>5.53</v>
      </c>
      <c r="E3" s="5">
        <v>3520.9839999999999</v>
      </c>
      <c r="G3" s="4">
        <v>1000</v>
      </c>
    </row>
    <row r="5" spans="1:11" x14ac:dyDescent="0.3">
      <c r="A5" s="6" t="s">
        <v>932</v>
      </c>
      <c r="B5" s="4" t="s">
        <v>943</v>
      </c>
      <c r="C5">
        <f>CORREL(Orders[Quantity],Orders[Diff_order/delivery])</f>
        <v>3.4781737193018245E-3</v>
      </c>
    </row>
    <row r="6" spans="1:11" x14ac:dyDescent="0.3">
      <c r="A6" s="7" t="s">
        <v>877</v>
      </c>
      <c r="B6" s="5">
        <v>97665</v>
      </c>
    </row>
    <row r="7" spans="1:11" x14ac:dyDescent="0.3">
      <c r="A7" s="7" t="s">
        <v>918</v>
      </c>
      <c r="B7" s="5">
        <v>106624</v>
      </c>
      <c r="D7" s="6" t="s">
        <v>932</v>
      </c>
      <c r="E7" s="4" t="s">
        <v>943</v>
      </c>
      <c r="G7" s="6" t="s">
        <v>932</v>
      </c>
      <c r="H7" s="4" t="s">
        <v>943</v>
      </c>
      <c r="J7" s="6" t="s">
        <v>932</v>
      </c>
      <c r="K7" s="4" t="s">
        <v>945</v>
      </c>
    </row>
    <row r="8" spans="1:11" x14ac:dyDescent="0.3">
      <c r="A8" s="7" t="s">
        <v>910</v>
      </c>
      <c r="B8" s="5">
        <v>101556</v>
      </c>
      <c r="D8" s="7" t="s">
        <v>699</v>
      </c>
      <c r="E8" s="5">
        <v>586176</v>
      </c>
      <c r="G8" s="7" t="s">
        <v>868</v>
      </c>
      <c r="H8" s="5">
        <v>329862</v>
      </c>
      <c r="J8" s="7" t="s">
        <v>218</v>
      </c>
      <c r="K8" s="4">
        <v>18</v>
      </c>
    </row>
    <row r="9" spans="1:11" x14ac:dyDescent="0.3">
      <c r="A9" s="7" t="s">
        <v>858</v>
      </c>
      <c r="B9" s="5">
        <v>121905</v>
      </c>
      <c r="D9" s="7" t="s">
        <v>698</v>
      </c>
      <c r="E9" s="5">
        <v>674634</v>
      </c>
      <c r="G9" s="7" t="s">
        <v>863</v>
      </c>
      <c r="H9" s="5">
        <v>1005645</v>
      </c>
      <c r="J9" s="7" t="s">
        <v>152</v>
      </c>
      <c r="K9" s="4">
        <v>21</v>
      </c>
    </row>
    <row r="10" spans="1:11" x14ac:dyDescent="0.3">
      <c r="A10" s="7" t="s">
        <v>884</v>
      </c>
      <c r="B10" s="5">
        <v>114476</v>
      </c>
      <c r="D10" s="7" t="s">
        <v>707</v>
      </c>
      <c r="E10" s="5">
        <v>408194</v>
      </c>
      <c r="G10" s="7" t="s">
        <v>874</v>
      </c>
      <c r="H10" s="5">
        <v>201151</v>
      </c>
      <c r="J10" s="7" t="s">
        <v>32</v>
      </c>
      <c r="K10" s="4">
        <v>18</v>
      </c>
    </row>
    <row r="11" spans="1:11" x14ac:dyDescent="0.3">
      <c r="A11" s="7" t="s">
        <v>933</v>
      </c>
      <c r="B11" s="5">
        <v>542226</v>
      </c>
      <c r="D11" s="7" t="s">
        <v>829</v>
      </c>
      <c r="E11" s="5">
        <v>313783</v>
      </c>
      <c r="G11" s="7" t="s">
        <v>861</v>
      </c>
      <c r="H11" s="5">
        <v>212281</v>
      </c>
      <c r="J11" s="7" t="s">
        <v>324</v>
      </c>
      <c r="K11" s="4">
        <v>28</v>
      </c>
    </row>
    <row r="12" spans="1:11" x14ac:dyDescent="0.3">
      <c r="D12" s="7" t="s">
        <v>701</v>
      </c>
      <c r="E12" s="5">
        <v>574682</v>
      </c>
      <c r="G12" s="7" t="s">
        <v>794</v>
      </c>
      <c r="H12" s="5">
        <v>297372</v>
      </c>
      <c r="J12" s="7" t="s">
        <v>230</v>
      </c>
      <c r="K12" s="4">
        <v>21</v>
      </c>
    </row>
    <row r="13" spans="1:11" x14ac:dyDescent="0.3">
      <c r="D13" s="7" t="s">
        <v>794</v>
      </c>
      <c r="E13" s="5">
        <v>631585</v>
      </c>
      <c r="G13" s="7" t="s">
        <v>859</v>
      </c>
      <c r="H13" s="5">
        <v>740831</v>
      </c>
      <c r="J13" s="7" t="s">
        <v>301</v>
      </c>
      <c r="K13" s="4">
        <v>20</v>
      </c>
    </row>
    <row r="14" spans="1:11" x14ac:dyDescent="0.3">
      <c r="A14" s="6" t="s">
        <v>932</v>
      </c>
      <c r="B14" s="4" t="s">
        <v>943</v>
      </c>
      <c r="D14" s="7" t="s">
        <v>620</v>
      </c>
      <c r="E14" s="5">
        <v>331930</v>
      </c>
      <c r="G14" s="7" t="s">
        <v>865</v>
      </c>
      <c r="H14" s="5">
        <v>733842</v>
      </c>
      <c r="J14" s="7" t="s">
        <v>188</v>
      </c>
      <c r="K14" s="4">
        <v>24</v>
      </c>
    </row>
    <row r="15" spans="1:11" x14ac:dyDescent="0.3">
      <c r="A15" s="7" t="s">
        <v>938</v>
      </c>
      <c r="B15" s="5">
        <v>475447</v>
      </c>
      <c r="D15" s="7" t="s">
        <v>933</v>
      </c>
      <c r="E15" s="5">
        <v>3520984</v>
      </c>
      <c r="G15" s="7" t="s">
        <v>933</v>
      </c>
      <c r="H15" s="5">
        <v>3520984</v>
      </c>
      <c r="J15" s="7" t="s">
        <v>307</v>
      </c>
      <c r="K15" s="4">
        <v>29</v>
      </c>
    </row>
    <row r="16" spans="1:11" x14ac:dyDescent="0.3">
      <c r="A16" s="7" t="s">
        <v>940</v>
      </c>
      <c r="B16" s="5">
        <v>461670</v>
      </c>
      <c r="J16" s="7" t="s">
        <v>158</v>
      </c>
      <c r="K16" s="4">
        <v>27</v>
      </c>
    </row>
    <row r="17" spans="1:11" x14ac:dyDescent="0.3">
      <c r="A17" s="7" t="s">
        <v>936</v>
      </c>
      <c r="B17" s="5">
        <v>444960</v>
      </c>
      <c r="D17" s="6" t="s">
        <v>932</v>
      </c>
      <c r="E17" s="4" t="s">
        <v>943</v>
      </c>
      <c r="G17" s="6" t="s">
        <v>932</v>
      </c>
      <c r="H17" s="4" t="s">
        <v>943</v>
      </c>
      <c r="J17" s="7" t="s">
        <v>397</v>
      </c>
      <c r="K17" s="4">
        <v>19</v>
      </c>
    </row>
    <row r="18" spans="1:11" x14ac:dyDescent="0.3">
      <c r="A18" s="7" t="s">
        <v>939</v>
      </c>
      <c r="B18" s="5">
        <v>628138</v>
      </c>
      <c r="D18" s="7" t="s">
        <v>842</v>
      </c>
      <c r="E18" s="5">
        <v>95468</v>
      </c>
      <c r="G18" s="7">
        <v>0</v>
      </c>
      <c r="H18" s="5">
        <v>99400</v>
      </c>
      <c r="J18" s="7" t="s">
        <v>933</v>
      </c>
      <c r="K18" s="4">
        <v>225</v>
      </c>
    </row>
    <row r="19" spans="1:11" x14ac:dyDescent="0.3">
      <c r="A19" s="7" t="s">
        <v>942</v>
      </c>
      <c r="B19" s="5">
        <v>418354</v>
      </c>
      <c r="D19" s="7" t="s">
        <v>621</v>
      </c>
      <c r="E19" s="5">
        <v>704509</v>
      </c>
      <c r="G19" s="7">
        <v>1</v>
      </c>
      <c r="H19" s="5">
        <v>129309</v>
      </c>
    </row>
    <row r="20" spans="1:11" x14ac:dyDescent="0.3">
      <c r="A20" s="7" t="s">
        <v>941</v>
      </c>
      <c r="B20" s="5">
        <v>677223</v>
      </c>
      <c r="D20" s="7" t="s">
        <v>747</v>
      </c>
      <c r="E20" s="5">
        <v>511823</v>
      </c>
      <c r="G20" s="7">
        <v>2</v>
      </c>
      <c r="H20" s="5">
        <v>152940</v>
      </c>
    </row>
    <row r="21" spans="1:11" x14ac:dyDescent="0.3">
      <c r="A21" s="7" t="s">
        <v>937</v>
      </c>
      <c r="B21" s="5">
        <v>415192</v>
      </c>
      <c r="D21" s="7" t="s">
        <v>837</v>
      </c>
      <c r="E21" s="5">
        <v>140393</v>
      </c>
      <c r="G21" s="7">
        <v>3</v>
      </c>
      <c r="H21" s="5">
        <v>146810</v>
      </c>
    </row>
    <row r="22" spans="1:11" x14ac:dyDescent="0.3">
      <c r="A22" s="7" t="s">
        <v>933</v>
      </c>
      <c r="B22" s="5">
        <v>3520984</v>
      </c>
      <c r="D22" s="7" t="s">
        <v>840</v>
      </c>
      <c r="E22" s="5">
        <v>150346</v>
      </c>
      <c r="G22" s="7">
        <v>4</v>
      </c>
      <c r="H22" s="5">
        <v>114700</v>
      </c>
    </row>
    <row r="23" spans="1:11" x14ac:dyDescent="0.3">
      <c r="D23" s="7" t="s">
        <v>841</v>
      </c>
      <c r="E23" s="5">
        <v>157913</v>
      </c>
      <c r="G23" s="7">
        <v>5</v>
      </c>
      <c r="H23" s="5">
        <v>156198</v>
      </c>
    </row>
    <row r="24" spans="1:11" x14ac:dyDescent="0.3">
      <c r="D24" s="7" t="s">
        <v>839</v>
      </c>
      <c r="E24" s="5">
        <v>135826</v>
      </c>
      <c r="G24" s="7">
        <v>6</v>
      </c>
      <c r="H24" s="5">
        <v>177211</v>
      </c>
    </row>
    <row r="25" spans="1:11" x14ac:dyDescent="0.3">
      <c r="D25" s="7" t="s">
        <v>795</v>
      </c>
      <c r="E25" s="5">
        <v>737389</v>
      </c>
      <c r="G25" s="7">
        <v>7</v>
      </c>
      <c r="H25" s="5">
        <v>147749</v>
      </c>
    </row>
    <row r="26" spans="1:11" x14ac:dyDescent="0.3">
      <c r="D26" s="7" t="s">
        <v>843</v>
      </c>
      <c r="E26" s="5">
        <v>136938</v>
      </c>
      <c r="G26" s="7">
        <v>8</v>
      </c>
      <c r="H26" s="5">
        <v>133617</v>
      </c>
    </row>
    <row r="27" spans="1:11" x14ac:dyDescent="0.3">
      <c r="D27" s="7" t="s">
        <v>845</v>
      </c>
      <c r="E27" s="5">
        <v>151619</v>
      </c>
      <c r="G27" s="7">
        <v>9</v>
      </c>
      <c r="H27" s="5">
        <v>153678</v>
      </c>
    </row>
    <row r="28" spans="1:11" x14ac:dyDescent="0.3">
      <c r="D28" s="7" t="s">
        <v>822</v>
      </c>
      <c r="E28" s="5">
        <v>449169</v>
      </c>
      <c r="G28" s="7">
        <v>10</v>
      </c>
      <c r="H28" s="5">
        <v>94985</v>
      </c>
    </row>
    <row r="29" spans="1:11" x14ac:dyDescent="0.3">
      <c r="D29" s="7" t="s">
        <v>836</v>
      </c>
      <c r="E29" s="5">
        <v>149591</v>
      </c>
      <c r="G29" s="7">
        <v>11</v>
      </c>
      <c r="H29" s="5">
        <v>130287</v>
      </c>
    </row>
    <row r="30" spans="1:11" x14ac:dyDescent="0.3">
      <c r="D30" s="7" t="s">
        <v>933</v>
      </c>
      <c r="E30" s="5">
        <v>3520984</v>
      </c>
      <c r="G30" s="7">
        <v>12</v>
      </c>
      <c r="H30" s="5">
        <v>162394</v>
      </c>
    </row>
    <row r="31" spans="1:11" x14ac:dyDescent="0.3">
      <c r="G31" s="7">
        <v>13</v>
      </c>
      <c r="H31" s="5">
        <v>152340</v>
      </c>
    </row>
    <row r="32" spans="1:11" x14ac:dyDescent="0.3">
      <c r="G32" s="7">
        <v>14</v>
      </c>
      <c r="H32" s="5">
        <v>126406</v>
      </c>
    </row>
    <row r="33" spans="7:8" x14ac:dyDescent="0.3">
      <c r="G33" s="7">
        <v>15</v>
      </c>
      <c r="H33" s="5">
        <v>163586</v>
      </c>
    </row>
    <row r="34" spans="7:8" x14ac:dyDescent="0.3">
      <c r="G34" s="7">
        <v>16</v>
      </c>
      <c r="H34" s="5">
        <v>128797</v>
      </c>
    </row>
    <row r="35" spans="7:8" x14ac:dyDescent="0.3">
      <c r="G35" s="7">
        <v>17</v>
      </c>
      <c r="H35" s="5">
        <v>155373</v>
      </c>
    </row>
    <row r="36" spans="7:8" x14ac:dyDescent="0.3">
      <c r="G36" s="7">
        <v>18</v>
      </c>
      <c r="H36" s="5">
        <v>173118</v>
      </c>
    </row>
    <row r="37" spans="7:8" x14ac:dyDescent="0.3">
      <c r="G37" s="7">
        <v>19</v>
      </c>
      <c r="H37" s="5">
        <v>185771</v>
      </c>
    </row>
    <row r="38" spans="7:8" x14ac:dyDescent="0.3">
      <c r="G38" s="7">
        <v>20</v>
      </c>
      <c r="H38" s="5">
        <v>186426</v>
      </c>
    </row>
    <row r="39" spans="7:8" x14ac:dyDescent="0.3">
      <c r="G39" s="7">
        <v>21</v>
      </c>
      <c r="H39" s="5">
        <v>155466</v>
      </c>
    </row>
    <row r="40" spans="7:8" x14ac:dyDescent="0.3">
      <c r="G40" s="7">
        <v>22</v>
      </c>
      <c r="H40" s="5">
        <v>125912</v>
      </c>
    </row>
    <row r="41" spans="7:8" x14ac:dyDescent="0.3">
      <c r="G41" s="7">
        <v>23</v>
      </c>
      <c r="H41" s="5">
        <v>168511</v>
      </c>
    </row>
    <row r="42" spans="7:8" x14ac:dyDescent="0.3">
      <c r="G42" s="7" t="s">
        <v>933</v>
      </c>
      <c r="H42" s="5">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E6FF4-F077-41D0-84AC-2FB4824E169C}">
  <dimension ref="A1"/>
  <sheetViews>
    <sheetView workbookViewId="0"/>
  </sheetViews>
  <sheetFormatPr defaultRowHeight="14.4" x14ac:dyDescent="0.3"/>
  <cols>
    <col min="1" max="6" width="8.88671875" style="8"/>
    <col min="7" max="7" width="9.109375" style="8" customWidth="1"/>
    <col min="8" max="16384" width="8.88671875" style="8"/>
  </cols>
  <sheetData>
    <row r="1" s="8"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C42234A-4386-460D-892D-5D45975EE448}">
  <ds:schemaRefs/>
</ds:datastoreItem>
</file>

<file path=customXml/itemProps2.xml><?xml version="1.0" encoding="utf-8"?>
<ds:datastoreItem xmlns:ds="http://schemas.openxmlformats.org/officeDocument/2006/customXml" ds:itemID="{CD90D1CC-C97E-4DAA-BDAF-7A2AD966C3F1}">
  <ds:schemaRefs/>
</ds:datastoreItem>
</file>

<file path=customXml/itemProps3.xml><?xml version="1.0" encoding="utf-8"?>
<ds:datastoreItem xmlns:ds="http://schemas.openxmlformats.org/officeDocument/2006/customXml" ds:itemID="{B8C00D39-AB7E-4197-A87A-80A5E13F9F74}">
  <ds:schemaRefs/>
</ds:datastoreItem>
</file>

<file path=customXml/itemProps4.xml><?xml version="1.0" encoding="utf-8"?>
<ds:datastoreItem xmlns:ds="http://schemas.openxmlformats.org/officeDocument/2006/customXml" ds:itemID="{774CB294-4751-4B70-93E4-7A1DE0BEEB57}">
  <ds:schemaRefs/>
</ds:datastoreItem>
</file>

<file path=customXml/itemProps5.xml><?xml version="1.0" encoding="utf-8"?>
<ds:datastoreItem xmlns:ds="http://schemas.openxmlformats.org/officeDocument/2006/customXml" ds:itemID="{85C5E327-408B-4D9A-84E1-AFFA62E36B60}">
  <ds:schemaRefs>
    <ds:schemaRef ds:uri="http://schemas.microsoft.com/DataMashup"/>
  </ds:schemaRefs>
</ds:datastoreItem>
</file>

<file path=customXml/itemProps6.xml><?xml version="1.0" encoding="utf-8"?>
<ds:datastoreItem xmlns:ds="http://schemas.openxmlformats.org/officeDocument/2006/customXml" ds:itemID="{DFB9C83C-7029-4EAD-8102-DCB1ABEA86B7}">
  <ds:schemaRefs/>
</ds:datastoreItem>
</file>

<file path=customXml/itemProps7.xml><?xml version="1.0" encoding="utf-8"?>
<ds:datastoreItem xmlns:ds="http://schemas.openxmlformats.org/officeDocument/2006/customXml" ds:itemID="{28FAA8A7-94DF-4146-8573-A44B50B05AE0}">
  <ds:schemaRefs/>
</ds:datastoreItem>
</file>

<file path=customXml/itemProps8.xml><?xml version="1.0" encoding="utf-8"?>
<ds:datastoreItem xmlns:ds="http://schemas.openxmlformats.org/officeDocument/2006/customXml" ds:itemID="{941C57A0-63DD-4C95-ADAC-D3296636753A}">
  <ds:schemaRefs/>
</ds:datastoreItem>
</file>

<file path=customXml/itemProps9.xml><?xml version="1.0" encoding="utf-8"?>
<ds:datastoreItem xmlns:ds="http://schemas.openxmlformats.org/officeDocument/2006/customXml" ds:itemID="{88128082-43AE-4FFA-92FB-25F43604908B}">
  <ds:schemaRefs/>
</ds:datastoreItem>
</file>

<file path=customXml/itemProps10.xml><?xml version="1.0" encoding="utf-8"?>
<ds:datastoreItem xmlns:ds="http://schemas.openxmlformats.org/officeDocument/2006/customXml" ds:itemID="{103612E7-AA06-4C8C-A184-EFC7C7CC7776}">
  <ds:schemaRefs/>
</ds:datastoreItem>
</file>

<file path=customXml/itemProps11.xml><?xml version="1.0" encoding="utf-8"?>
<ds:datastoreItem xmlns:ds="http://schemas.openxmlformats.org/officeDocument/2006/customXml" ds:itemID="{B65EB920-7A67-4D55-9654-F5A6D819AA86}">
  <ds:schemaRefs/>
</ds:datastoreItem>
</file>

<file path=customXml/itemProps12.xml><?xml version="1.0" encoding="utf-8"?>
<ds:datastoreItem xmlns:ds="http://schemas.openxmlformats.org/officeDocument/2006/customXml" ds:itemID="{8D6F5656-3260-46B4-8340-2016A2A6B3E7}">
  <ds:schemaRefs/>
</ds:datastoreItem>
</file>

<file path=customXml/itemProps13.xml><?xml version="1.0" encoding="utf-8"?>
<ds:datastoreItem xmlns:ds="http://schemas.openxmlformats.org/officeDocument/2006/customXml" ds:itemID="{261E9201-4E92-4508-A304-F3FD92568E29}">
  <ds:schemaRefs/>
</ds:datastoreItem>
</file>

<file path=customXml/itemProps14.xml><?xml version="1.0" encoding="utf-8"?>
<ds:datastoreItem xmlns:ds="http://schemas.openxmlformats.org/officeDocument/2006/customXml" ds:itemID="{516940D2-6B97-4B1C-A4CF-A862D2582F71}">
  <ds:schemaRefs/>
</ds:datastoreItem>
</file>

<file path=customXml/itemProps15.xml><?xml version="1.0" encoding="utf-8"?>
<ds:datastoreItem xmlns:ds="http://schemas.openxmlformats.org/officeDocument/2006/customXml" ds:itemID="{19D16F33-606E-4C5B-8097-62CBB39533A3}">
  <ds:schemaRefs/>
</ds:datastoreItem>
</file>

<file path=customXml/itemProps16.xml><?xml version="1.0" encoding="utf-8"?>
<ds:datastoreItem xmlns:ds="http://schemas.openxmlformats.org/officeDocument/2006/customXml" ds:itemID="{855FF2A5-641D-48F3-9404-F2D63226D5C7}">
  <ds:schemaRefs/>
</ds:datastoreItem>
</file>

<file path=customXml/itemProps17.xml><?xml version="1.0" encoding="utf-8"?>
<ds:datastoreItem xmlns:ds="http://schemas.openxmlformats.org/officeDocument/2006/customXml" ds:itemID="{A8B34373-0858-40E2-A4AA-E927AB91AF1D}">
  <ds:schemaRefs/>
</ds:datastoreItem>
</file>

<file path=customXml/itemProps18.xml><?xml version="1.0" encoding="utf-8"?>
<ds:datastoreItem xmlns:ds="http://schemas.openxmlformats.org/officeDocument/2006/customXml" ds:itemID="{40EC5CB1-3649-49BC-85E4-2F51AF6333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 Tables</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Aashi Singh</dc:creator>
  <cp:lastModifiedBy>Aashi Singh</cp:lastModifiedBy>
  <dcterms:created xsi:type="dcterms:W3CDTF">2026-01-02T07:23:38Z</dcterms:created>
  <dcterms:modified xsi:type="dcterms:W3CDTF">2026-01-16T06:17:27Z</dcterms:modified>
</cp:coreProperties>
</file>